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e9e55d832b4a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рта рисков" sheetId="1" r:id="Rbe9e85e845ef43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10"/>
      <x:color rgb="FF17212B"/>
      <x:name val="Arial"/>
    </x:font>
    <x:font>
      <x:b/>
      <x:sz val="16"/>
      <x:color rgb="FF17212B"/>
      <x:name val="Arial"/>
    </x:font>
    <x:font>
      <x:sz val="10"/>
      <x:color rgb="FF5B6775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b/>
      <x:sz val="9"/>
      <x:color rgb="FF31465A"/>
      <x:name val="Arial"/>
    </x:font>
    <x:font>
      <x:sz val="9"/>
      <x:color rgb="FF6A5200"/>
      <x:name val="Arial"/>
    </x:font>
    <x:font>
      <x:b/>
      <x:sz val="9"/>
      <x:color rgb="FF1F4E7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7D6"/>
      </x:patternFill>
    </x:fill>
    <x:fill>
      <x:patternFill patternType="solid">
        <x:fgColor rgb="FFF4F7FA"/>
      </x:patternFill>
    </x:fill>
  </x:fills>
  <x:borders count="5">
    <x:border>
      <x:left/>
      <x:right/>
      <x:top/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7DEE8"/>
      </x:left>
      <x:right/>
      <x:top style="thin">
        <x:color rgb="FFD7DEE8"/>
      </x:top>
      <x:bottom style="thin">
        <x:color rgb="FFD7DEE8"/>
      </x:bottom>
      <x:diagonal/>
    </x:border>
    <x:border>
      <x:left/>
      <x:right/>
      <x:top style="thin">
        <x:color rgb="FFD7DEE8"/>
      </x:top>
      <x:bottom style="thin">
        <x:color rgb="FFD7DEE8"/>
      </x:bottom>
      <x:diagonal/>
    </x:border>
    <x:border>
      <x:left/>
      <x:right style="thin">
        <x:color rgb="FFD7DEE8"/>
      </x:right>
      <x:top style="thin">
        <x:color rgb="FFD7DEE8"/>
      </x:top>
      <x:bottom style="thin">
        <x:color rgb="FFD7DEE8"/>
      </x:bottom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horizontal="center" vertical="center" wrapText="1"/>
    </x:xf>
    <x:xf numFmtId="0" fontId="5" fillId="0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7" fillId="3" borderId="3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8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8" fillId="4" borderId="4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A3412"/>
      </x:font>
      <x:fill>
        <x:patternFill patternType="solid">
          <x:bgColor rgb="FFFED7AA"/>
        </x:patternFill>
      </x:fill>
    </x:dxf>
    <x:dxf>
      <x:font>
        <x:b/>
        <x:color rgb="FF805B00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A3412"/>
      </x:font>
      <x:fill>
        <x:patternFill patternType="solid">
          <x:bgColor rgb="FFFED7AA"/>
        </x:patternFill>
      </x:fill>
    </x:dxf>
    <x:dxf>
      <x:font>
        <x:b/>
        <x:color rgb="FF805B00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f911cd2edd4116" /><Relationship Type="http://schemas.openxmlformats.org/officeDocument/2006/relationships/theme" Target="/xl/theme/theme1.xml" Id="Ra2e52219c5e74371" /><Relationship Type="http://schemas.openxmlformats.org/officeDocument/2006/relationships/sharedStrings" Target="/xl/sharedStrings.xml" Id="R9217fb097be341df" /><Relationship Type="http://schemas.openxmlformats.org/officeDocument/2006/relationships/worksheet" Target="/xl/worksheets/sheet1.xml" Id="Rbe9e85e845ef43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34" hidden="0" customWidth="1"/>
    <x:col min="3" max="3" width="16" hidden="0" customWidth="1"/>
    <x:col min="4" max="4" width="11" hidden="0" customWidth="1"/>
    <x:col min="5" max="5" width="12" hidden="0" customWidth="1"/>
    <x:col min="6" max="6" width="14" hidden="0" customWidth="1"/>
    <x:col min="7" max="7" width="66" hidden="0" customWidth="1"/>
    <x:col min="8" max="8" width="13" hidden="0" customWidth="1"/>
    <x:col min="9" max="9" width="16" hidden="0" customWidth="1"/>
    <x:col min="10" max="10" width="13" hidden="0" customWidth="1"/>
    <x:col min="11" max="11" width="14" hidden="0" customWidth="1"/>
    <x:col min="12" max="12" width="14" hidden="0" customWidth="1"/>
  </x:cols>
  <x:sheetData>
    <x:row r="1">
      <x:c r="A1" s="3" t="str">
        <x:v>Единая карта рисков (15 рисков)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4" t="str">
        <x:v>Проект: RE:FORM LIFE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46" customHeight="1">
      <x:c r="A4" s="9" t="str">
        <x:v>№ п/п</x:v>
      </x:c>
      <x:c r="B4" s="9" t="str">
        <x:v>Наименование риска</x:v>
      </x:c>
      <x:c r="C4" s="9" t="str">
        <x:v>Владелец риска</x:v>
      </x:c>
      <x:c r="D4" s="9" t="str">
        <x:v>Вер-ть (до)</x:v>
      </x:c>
      <x:c r="E4" s="9" t="str">
        <x:v>Послед. (до)</x:v>
      </x:c>
      <x:c r="F4" s="9" t="str">
        <x:v>Общая (до)</x:v>
      </x:c>
      <x:c r="G4" s="9" t="str">
        <x:v>Мероприятия по управлению риском</x:v>
      </x:c>
      <x:c r="H4" s="9" t="str">
        <x:v>Срок</x:v>
      </x:c>
      <x:c r="I4" s="9" t="str">
        <x:v>Ответственный</x:v>
      </x:c>
      <x:c r="J4" s="9" t="str">
        <x:v>Вер-ть (после)</x:v>
      </x:c>
      <x:c r="K4" s="9" t="str">
        <x:v>Послед. (после)</x:v>
      </x:c>
      <x:c r="L4" s="9" t="str">
        <x:v>Общая (после)</x:v>
      </x:c>
    </x:row>
    <x:row r="5" ht="64" customHeight="1">
      <x:c r="A5" s="18" t="n">
        <x:v>1</x:v>
      </x:c>
      <x:c r="B5" s="15" t="str">
        <x:v>Окончание подписки на ChatGPT / блокировка аккаунта</x:v>
      </x:c>
      <x:c r="C5" s="19" t="str">
        <x:v>Разработчик</x:v>
      </x:c>
      <x:c r="D5" s="22" t="n">
        <x:v>4</x:v>
      </x:c>
      <x:c r="E5" s="22" t="n">
        <x:v>5</x:v>
      </x:c>
      <x:c r="F5" s="24" t="str">
        <x:f>D5*E5&amp;" ("&amp;IF(D5*E5&gt;=16,"Критич.",IF(D5*E5&gt;=10,"Высокий",IF(D5*E5&gt;=5,"Умер.","Низкий")))&amp;")"</x:f>
        <x:v>20 (Критич.)</x:v>
      </x:c>
      <x:c r="G5" s="15" t="str">
        <x:v>Оформить подписку на 3–6 мес.; настроить автопродление; иметь резервный аккаунт; держать актуальные альтернативы: Claude Opus 5 / Sonnet 5.5 или Gemini 4 Argon.</x:v>
      </x:c>
      <x:c r="H5" s="19" t="str">
        <x:v>1 день</x:v>
      </x:c>
      <x:c r="I5" s="19" t="str">
        <x:v>Разработчик</x:v>
      </x:c>
      <x:c r="J5" s="22" t="n">
        <x:v>2</x:v>
      </x:c>
      <x:c r="K5" s="22" t="n">
        <x:v>4</x:v>
      </x:c>
      <x:c r="L5" s="26" t="str">
        <x:f>J5*K5&amp;" ("&amp;IF(J5*K5&gt;=16,"Критич.",IF(J5*K5&gt;=10,"Высокий",IF(J5*K5&gt;=5,"Умер.","Низкий")))&amp;")"</x:f>
        <x:v>8 (Умер.)</x:v>
      </x:c>
    </x:row>
    <x:row r="6" ht="64" customHeight="1">
      <x:c r="A6" s="18" t="n">
        <x:v>2</x:v>
      </x:c>
      <x:c r="B6" s="15" t="str">
        <x:v>Сбой в работе сервисов ChatGPT (недоступность)</x:v>
      </x:c>
      <x:c r="C6" s="19" t="str">
        <x:v>Разработчик</x:v>
      </x:c>
      <x:c r="D6" s="22" t="n">
        <x:v>4</x:v>
      </x:c>
      <x:c r="E6" s="22" t="n">
        <x:v>4</x:v>
      </x:c>
      <x:c r="F6" s="24" t="str">
        <x:f>D6*E6&amp;" ("&amp;IF(D6*E6&gt;=16,"Критич.",IF(D6*E6&gt;=10,"Высокий",IF(D6*E6&gt;=5,"Умер.","Низкий")))&amp;")"</x:f>
        <x:v>16 (Критич.)</x:v>
      </x:c>
      <x:c r="G6" s="15" t="str">
        <x:v>Использовать стабильные API-эндпоинты; кэширование ответов; fallback: API Gemini 4 Argon или Claude Opus 5 / Sonnet 5.5.</x:v>
      </x:c>
      <x:c r="H6" s="19" t="str">
        <x:v>2 дня</x:v>
      </x:c>
      <x:c r="I6" s="19" t="str">
        <x:v>Разработчик</x:v>
      </x:c>
      <x:c r="J6" s="22" t="n">
        <x:v>3</x:v>
      </x:c>
      <x:c r="K6" s="22" t="n">
        <x:v>3</x:v>
      </x:c>
      <x:c r="L6" s="26" t="str">
        <x:f>J6*K6&amp;" ("&amp;IF(J6*K6&gt;=16,"Критич.",IF(J6*K6&gt;=10,"Высокий",IF(J6*K6&gt;=5,"Умер.","Низкий")))&amp;")"</x:f>
        <x:v>9 (Умер.)</x:v>
      </x:c>
    </x:row>
    <x:row r="7" ht="64" customHeight="1">
      <x:c r="A7" s="18" t="n">
        <x:v>3</x:v>
      </x:c>
      <x:c r="B7" s="15" t="str">
        <x:v>Некорректная работа ИИ-ассистента (галлюцинации, ошибки)</x:v>
      </x:c>
      <x:c r="C7" s="19" t="str">
        <x:v>Разработчик</x:v>
      </x:c>
      <x:c r="D7" s="22" t="n">
        <x:v>4</x:v>
      </x:c>
      <x:c r="E7" s="22" t="n">
        <x:v>5</x:v>
      </x:c>
      <x:c r="F7" s="24" t="str">
        <x:f>D7*E7&amp;" ("&amp;IF(D7*E7&gt;=16,"Критич.",IF(D7*E7&gt;=10,"Высокий",IF(D7*E7&gt;=5,"Умер.","Низкий")))&amp;")"</x:f>
        <x:v>20 (Критич.)</x:v>
      </x:c>
      <x:c r="G7" s="15" t="str">
        <x:v>Жесткая валидация ответов (JSON Schema); ручное подтверждение критичных задач; использование RAG (поиск по базе знаний).</x:v>
      </x:c>
      <x:c r="H7" s="19" t="str">
        <x:v>5 дней</x:v>
      </x:c>
      <x:c r="I7" s="19" t="str">
        <x:v>Разработчик</x:v>
      </x:c>
      <x:c r="J7" s="22" t="n">
        <x:v>2</x:v>
      </x:c>
      <x:c r="K7" s="22" t="n">
        <x:v>4</x:v>
      </x:c>
      <x:c r="L7" s="26" t="str">
        <x:f>J7*K7&amp;" ("&amp;IF(J7*K7&gt;=16,"Критич.",IF(J7*K7&gt;=10,"Высокий",IF(J7*K7&gt;=5,"Умер.","Низкий")))&amp;")"</x:f>
        <x:v>8 (Умер.)</x:v>
      </x:c>
    </x:row>
    <x:row r="8" ht="64" customHeight="1">
      <x:c r="A8" s="18" t="n">
        <x:v>4</x:v>
      </x:c>
      <x:c r="B8" s="15" t="str">
        <x:v>Превышение бюджета на API / токены</x:v>
      </x:c>
      <x:c r="C8" s="19" t="str">
        <x:v>Разработчик</x:v>
      </x:c>
      <x:c r="D8" s="22" t="n">
        <x:v>3</x:v>
      </x:c>
      <x:c r="E8" s="22" t="n">
        <x:v>4</x:v>
      </x:c>
      <x:c r="F8" s="24" t="str">
        <x:f>D8*E8&amp;" ("&amp;IF(D8*E8&gt;=16,"Критич.",IF(D8*E8&gt;=10,"Высокий",IF(D8*E8&gt;=5,"Умер.","Низкий")))&amp;")"</x:f>
        <x:v>12 (Высокий)</x:v>
      </x:c>
      <x:c r="G8" s="15" t="str">
        <x:v>Лимиты потребления токенов (Rate Limiting); оптимизация промптов; кэширование запросов.</x:v>
      </x:c>
      <x:c r="H8" s="19" t="str">
        <x:v>3 дня</x:v>
      </x:c>
      <x:c r="I8" s="19" t="str">
        <x:v>Разработчик</x:v>
      </x:c>
      <x:c r="J8" s="22" t="n">
        <x:v>2</x:v>
      </x:c>
      <x:c r="K8" s="22" t="n">
        <x:v>3</x:v>
      </x:c>
      <x:c r="L8" s="26" t="str">
        <x:f>J8*K8&amp;" ("&amp;IF(J8*K8&gt;=16,"Критич.",IF(J8*K8&gt;=10,"Высокий",IF(J8*K8&gt;=5,"Умер.","Низкий")))&amp;")"</x:f>
        <x:v>6 (Умер.)</x:v>
      </x:c>
    </x:row>
    <x:row r="9" ht="64" customHeight="1">
      <x:c r="A9" s="18" t="n">
        <x:v>5</x:v>
      </x:c>
      <x:c r="B9" s="15" t="str">
        <x:v>Утечка персональных данных пользователей</x:v>
      </x:c>
      <x:c r="C9" s="19" t="str">
        <x:v>Разработчик</x:v>
      </x:c>
      <x:c r="D9" s="22" t="n">
        <x:v>3</x:v>
      </x:c>
      <x:c r="E9" s="22" t="n">
        <x:v>5</x:v>
      </x:c>
      <x:c r="F9" s="24" t="str">
        <x:f>D9*E9&amp;" ("&amp;IF(D9*E9&gt;=16,"Критич.",IF(D9*E9&gt;=10,"Высокий",IF(D9*E9&gt;=5,"Умер.","Низкий")))&amp;")"</x:f>
        <x:v>15 (Высокий)</x:v>
      </x:c>
      <x:c r="G9" s="15" t="str">
        <x:v>Анонимизация данных перед отправкой в API; HTTPS; шифрованное хранение данных.</x:v>
      </x:c>
      <x:c r="H9" s="19" t="str">
        <x:v>4 дня</x:v>
      </x:c>
      <x:c r="I9" s="19" t="str">
        <x:v>Разработчик</x:v>
      </x:c>
      <x:c r="J9" s="22" t="n">
        <x:v>2</x:v>
      </x:c>
      <x:c r="K9" s="22" t="n">
        <x:v>4</x:v>
      </x:c>
      <x:c r="L9" s="26" t="str">
        <x:f>J9*K9&amp;" ("&amp;IF(J9*K9&gt;=16,"Критич.",IF(J9*K9&gt;=10,"Высокий",IF(J9*K9&gt;=5,"Умер.","Низкий")))&amp;")"</x:f>
        <x:v>8 (Умер.)</x:v>
      </x:c>
    </x:row>
    <x:row r="10" ht="64" customHeight="1">
      <x:c r="A10" s="18" t="n">
        <x:v>6</x:v>
      </x:c>
      <x:c r="B10" s="15" t="str">
        <x:v>Нехватка времени / ресурсов на разработку (выгорание)</x:v>
      </x:c>
      <x:c r="C10" s="19" t="str">
        <x:v>Разработчик</x:v>
      </x:c>
      <x:c r="D10" s="22" t="n">
        <x:v>4</x:v>
      </x:c>
      <x:c r="E10" s="22" t="n">
        <x:v>3</x:v>
      </x:c>
      <x:c r="F10" s="24" t="str">
        <x:f>D10*E10&amp;" ("&amp;IF(D10*E10&gt;=16,"Критич.",IF(D10*E10&gt;=10,"Высокий",IF(D10*E10&gt;=5,"Умер.","Низкий")))&amp;")"</x:f>
        <x:v>12 (Высокий)</x:v>
      </x:c>
      <x:c r="G10" s="15" t="str">
        <x:v>Разбить проект на MVP; использовать готовые фреймворки (LangChain); строгий тайм-менеджмент.</x:v>
      </x:c>
      <x:c r="H10" s="19" t="str">
        <x:v>Постоянно</x:v>
      </x:c>
      <x:c r="I10" s="19" t="str">
        <x:v>Разработчик</x:v>
      </x:c>
      <x:c r="J10" s="22" t="n">
        <x:v>3</x:v>
      </x:c>
      <x:c r="K10" s="22" t="n">
        <x:v>3</x:v>
      </x:c>
      <x:c r="L10" s="26" t="str">
        <x:f>J10*K10&amp;" ("&amp;IF(J10*K10&gt;=16,"Критич.",IF(J10*K10&gt;=10,"Высокий",IF(J10*K10&gt;=5,"Умер.","Низкий")))&amp;")"</x:f>
        <x:v>9 (Умер.)</x:v>
      </x:c>
    </x:row>
    <x:row r="11" ht="64" customHeight="1">
      <x:c r="A11" s="18" t="n">
        <x:v>7</x:v>
      </x:c>
      <x:c r="B11" s="15" t="str">
        <x:v>Неудобный / перегруженный интерфейс</x:v>
      </x:c>
      <x:c r="C11" s="19" t="str">
        <x:v>Разработчик</x:v>
      </x:c>
      <x:c r="D11" s="22" t="n">
        <x:v>4</x:v>
      </x:c>
      <x:c r="E11" s="22" t="n">
        <x:v>4</x:v>
      </x:c>
      <x:c r="F11" s="24" t="str">
        <x:f>D11*E11&amp;" ("&amp;IF(D11*E11&gt;=16,"Критич.",IF(D11*E11&gt;=10,"Высокий",IF(D11*E11&gt;=5,"Умер.","Низкий")))&amp;")"</x:f>
        <x:v>16 (Критич.)</x:v>
      </x:c>
      <x:c r="G11" s="15" t="str">
        <x:v>Юзабилити-тестирование на 3–5 фокус-группах; UI-киты (Material UI, Ant Design); прототип в Figma.</x:v>
      </x:c>
      <x:c r="H11" s="19" t="str">
        <x:v>5 дней</x:v>
      </x:c>
      <x:c r="I11" s="19" t="str">
        <x:v>Разработчик</x:v>
      </x:c>
      <x:c r="J11" s="22" t="n">
        <x:v>2</x:v>
      </x:c>
      <x:c r="K11" s="22" t="n">
        <x:v>3</x:v>
      </x:c>
      <x:c r="L11" s="26" t="str">
        <x:f>J11*K11&amp;" ("&amp;IF(J11*K11&gt;=16,"Критич.",IF(J11*K11&gt;=10,"Высокий",IF(J11*K11&gt;=5,"Умер.","Низкий")))&amp;")"</x:f>
        <x:v>6 (Умер.)</x:v>
      </x:c>
    </x:row>
    <x:row r="12" ht="64" customHeight="1">
      <x:c r="A12" s="18" t="n">
        <x:v>8</x:v>
      </x:c>
      <x:c r="B12" s="15" t="str">
        <x:v>Непонимание пользователем, как создавать сценарии для ИИ</x:v>
      </x:c>
      <x:c r="C12" s="19" t="str">
        <x:v>Разработчик</x:v>
      </x:c>
      <x:c r="D12" s="22" t="n">
        <x:v>5</x:v>
      </x:c>
      <x:c r="E12" s="22" t="n">
        <x:v>4</x:v>
      </x:c>
      <x:c r="F12" s="24" t="str">
        <x:f>D12*E12&amp;" ("&amp;IF(D12*E12&gt;=16,"Критич.",IF(D12*E12&gt;=10,"Высокий",IF(D12*E12&gt;=5,"Умер.","Низкий")))&amp;")"</x:f>
        <x:v>20 (Критич.)</x:v>
      </x:c>
      <x:c r="G12" s="15" t="str">
        <x:v>Интуитивный конструктор сценариев (drag-and-drop/шаблоны); подсказки; онбординг; примеры готовых сценариев.</x:v>
      </x:c>
      <x:c r="H12" s="19" t="str">
        <x:v>7 дней</x:v>
      </x:c>
      <x:c r="I12" s="19" t="str">
        <x:v>Разработчик</x:v>
      </x:c>
      <x:c r="J12" s="22" t="n">
        <x:v>2</x:v>
      </x:c>
      <x:c r="K12" s="22" t="n">
        <x:v>3</x:v>
      </x:c>
      <x:c r="L12" s="26" t="str">
        <x:f>J12*K12&amp;" ("&amp;IF(J12*K12&gt;=16,"Критич.",IF(J12*K12&gt;=10,"Высокий",IF(J12*K12&gt;=5,"Умер.","Низкий")))&amp;")"</x:f>
        <x:v>6 (Умер.)</x:v>
      </x:c>
    </x:row>
    <x:row r="13" ht="64" customHeight="1">
      <x:c r="A13" s="18" t="n">
        <x:v>9</x:v>
      </x:c>
      <x:c r="B13" s="15" t="str">
        <x:v>Плохая визуальная обратная связь от ИИ (непонятно, что сделал ассистент)</x:v>
      </x:c>
      <x:c r="C13" s="19" t="str">
        <x:v>Разработчик</x:v>
      </x:c>
      <x:c r="D13" s="22" t="n">
        <x:v>4</x:v>
      </x:c>
      <x:c r="E13" s="22" t="n">
        <x:v>4</x:v>
      </x:c>
      <x:c r="F13" s="24" t="str">
        <x:f>D13*E13&amp;" ("&amp;IF(D13*E13&gt;=16,"Критич.",IF(D13*E13&gt;=10,"Высокий",IF(D13*E13&gt;=5,"Умер.","Низкий")))&amp;")"</x:f>
        <x:v>16 (Критич.)</x:v>
      </x:c>
      <x:c r="G13" s="15" t="str">
        <x:v>Четкие визуальные статусы (иконки, прогресс-бары); логи действий ИИ; анимации переходов.</x:v>
      </x:c>
      <x:c r="H13" s="19" t="str">
        <x:v>4 дня</x:v>
      </x:c>
      <x:c r="I13" s="19" t="str">
        <x:v>Разработчик</x:v>
      </x:c>
      <x:c r="J13" s="22" t="n">
        <x:v>2</x:v>
      </x:c>
      <x:c r="K13" s="22" t="n">
        <x:v>3</x:v>
      </x:c>
      <x:c r="L13" s="26" t="str">
        <x:f>J13*K13&amp;" ("&amp;IF(J13*K13&gt;=16,"Критич.",IF(J13*K13&gt;=10,"Высокий",IF(J13*K13&gt;=5,"Умер.","Низкий")))&amp;")"</x:f>
        <x:v>6 (Умер.)</x:v>
      </x:c>
    </x:row>
    <x:row r="14" ht="64" customHeight="1">
      <x:c r="A14" s="18" t="n">
        <x:v>10</x:v>
      </x:c>
      <x:c r="B14" s="15" t="str">
        <x:v>Отсутствие адаптивности под мобильные устройства</x:v>
      </x:c>
      <x:c r="C14" s="19" t="str">
        <x:v>Разработчик</x:v>
      </x:c>
      <x:c r="D14" s="22" t="n">
        <x:v>3</x:v>
      </x:c>
      <x:c r="E14" s="22" t="n">
        <x:v>3</x:v>
      </x:c>
      <x:c r="F14" s="24" t="str">
        <x:f>D14*E14&amp;" ("&amp;IF(D14*E14&gt;=16,"Критич.",IF(D14*E14&gt;=10,"Высокий",IF(D14*E14&gt;=5,"Умер.","Низкий")))&amp;")"</x:f>
        <x:v>9 (Умер.)</x:v>
      </x:c>
      <x:c r="G14" s="15" t="str">
        <x:v>Адаптивный дизайн (flexbox/grid); тесты на эмуляторах; UI-фреймворк с мобильной поддержкой.</x:v>
      </x:c>
      <x:c r="H14" s="19" t="str">
        <x:v>3 дня</x:v>
      </x:c>
      <x:c r="I14" s="19" t="str">
        <x:v>Разработчик</x:v>
      </x:c>
      <x:c r="J14" s="22" t="n">
        <x:v>2</x:v>
      </x:c>
      <x:c r="K14" s="22" t="n">
        <x:v>2</x:v>
      </x:c>
      <x:c r="L14" s="26" t="str">
        <x:f>J14*K14&amp;" ("&amp;IF(J14*K14&gt;=16,"Критич.",IF(J14*K14&gt;=10,"Высокий",IF(J14*K14&gt;=5,"Умер.","Низкий")))&amp;")"</x:f>
        <x:v>4 (Низкий)</x:v>
      </x:c>
    </x:row>
    <x:row r="15" ht="64" customHeight="1">
      <x:c r="A15" s="18" t="n">
        <x:v>11</x:v>
      </x:c>
      <x:c r="B15" s="15" t="str">
        <x:v>Баги в разделе «План на месяц» (потеря данных, наложение задач)</x:v>
      </x:c>
      <x:c r="C15" s="19" t="str">
        <x:v>Разработчик</x:v>
      </x:c>
      <x:c r="D15" s="22" t="n">
        <x:v>4</x:v>
      </x:c>
      <x:c r="E15" s="22" t="n">
        <x:v>5</x:v>
      </x:c>
      <x:c r="F15" s="24" t="str">
        <x:f>D15*E15&amp;" ("&amp;IF(D15*E15&gt;=16,"Критич.",IF(D15*E15&gt;=10,"Высокий",IF(D15*E15&gt;=5,"Умер.","Низкий")))&amp;")"</x:f>
        <x:v>20 (Критич.)</x:v>
      </x:c>
      <x:c r="G15" s="15" t="str">
        <x:v>Автосохранение (localStorage/БД); unit-тесты для CRUD; валидация дат и конфликтов задач.</x:v>
      </x:c>
      <x:c r="H15" s="19" t="str">
        <x:v>5 дней</x:v>
      </x:c>
      <x:c r="I15" s="19" t="str">
        <x:v>Разработчик</x:v>
      </x:c>
      <x:c r="J15" s="22" t="n">
        <x:v>2</x:v>
      </x:c>
      <x:c r="K15" s="22" t="n">
        <x:v>4</x:v>
      </x:c>
      <x:c r="L15" s="26" t="str">
        <x:f>J15*K15&amp;" ("&amp;IF(J15*K15&gt;=16,"Критич.",IF(J15*K15&gt;=10,"Высокий",IF(J15*K15&gt;=5,"Умер.","Низкий")))&amp;")"</x:f>
        <x:v>8 (Умер.)</x:v>
      </x:c>
    </x:row>
    <x:row r="16" ht="64" customHeight="1">
      <x:c r="A16" s="18" t="n">
        <x:v>12</x:v>
      </x:c>
      <x:c r="B16" s="15" t="str">
        <x:v>Глюки в разделе «План на неделю» (рассинхрон с месяцем)</x:v>
      </x:c>
      <x:c r="C16" s="19" t="str">
        <x:v>Разработчик</x:v>
      </x:c>
      <x:c r="D16" s="22" t="n">
        <x:v>4</x:v>
      </x:c>
      <x:c r="E16" s="22" t="n">
        <x:v>4</x:v>
      </x:c>
      <x:c r="F16" s="24" t="str">
        <x:f>D16*E16&amp;" ("&amp;IF(D16*E16&gt;=16,"Критич.",IF(D16*E16&gt;=10,"Высокий",IF(D16*E16&gt;=5,"Умер.","Низкий")))&amp;")"</x:f>
        <x:v>16 (Критич.)</x:v>
      </x:c>
      <x:c r="G16" s="15" t="str">
        <x:v>Единая модель данных (месяц → неделя → день); интеграционные тесты; реактивное обновление (state management).</x:v>
      </x:c>
      <x:c r="H16" s="19" t="str">
        <x:v>4 дня</x:v>
      </x:c>
      <x:c r="I16" s="19" t="str">
        <x:v>Разработчик</x:v>
      </x:c>
      <x:c r="J16" s="22" t="n">
        <x:v>2</x:v>
      </x:c>
      <x:c r="K16" s="22" t="n">
        <x:v>3</x:v>
      </x:c>
      <x:c r="L16" s="26" t="str">
        <x:f>J16*K16&amp;" ("&amp;IF(J16*K16&gt;=16,"Критич.",IF(J16*K16&gt;=10,"Высокий",IF(J16*K16&gt;=5,"Умер.","Низкий")))&amp;")"</x:f>
        <x:v>6 (Умер.)</x:v>
      </x:c>
    </x:row>
    <x:row r="17" ht="64" customHeight="1">
      <x:c r="A17" s="18" t="n">
        <x:v>13</x:v>
      </x:c>
      <x:c r="B17" s="15" t="str">
        <x:v>Ошибки в разделе «Коммуналка» (неверный расчет, путаница тарифов)</x:v>
      </x:c>
      <x:c r="C17" s="19" t="str">
        <x:v>Разработчик</x:v>
      </x:c>
      <x:c r="D17" s="22" t="n">
        <x:v>4</x:v>
      </x:c>
      <x:c r="E17" s="22" t="n">
        <x:v>5</x:v>
      </x:c>
      <x:c r="F17" s="24" t="str">
        <x:f>D17*E17&amp;" ("&amp;IF(D17*E17&gt;=16,"Критич.",IF(D17*E17&gt;=10,"Высокий",IF(D17*E17&gt;=5,"Умер.","Низкий")))&amp;")"</x:f>
        <x:v>20 (Критич.)</x:v>
      </x:c>
      <x:c r="G17" s="15" t="str">
        <x:v>Ручная проверка показаний; история изменений (лог); тесты формул на разных тарифах; экспорт в Excel.</x:v>
      </x:c>
      <x:c r="H17" s="19" t="str">
        <x:v>5 дней</x:v>
      </x:c>
      <x:c r="I17" s="19" t="str">
        <x:v>Разработчик</x:v>
      </x:c>
      <x:c r="J17" s="22" t="n">
        <x:v>2</x:v>
      </x:c>
      <x:c r="K17" s="22" t="n">
        <x:v>3</x:v>
      </x:c>
      <x:c r="L17" s="26" t="str">
        <x:f>J17*K17&amp;" ("&amp;IF(J17*K17&gt;=16,"Критич.",IF(J17*K17&gt;=10,"Высокий",IF(J17*K17&gt;=5,"Умер.","Низкий")))&amp;")"</x:f>
        <x:v>6 (Умер.)</x:v>
      </x:c>
    </x:row>
    <x:row r="18" ht="64" customHeight="1">
      <x:c r="A18" s="18" t="n">
        <x:v>14</x:v>
      </x:c>
      <x:c r="B18" s="15" t="str">
        <x:v>Сбои в разделе «Расчет бюджета» (неверная сумма, округление)</x:v>
      </x:c>
      <x:c r="C18" s="19" t="str">
        <x:v>Разработчик</x:v>
      </x:c>
      <x:c r="D18" s="22" t="n">
        <x:v>4</x:v>
      </x:c>
      <x:c r="E18" s="22" t="n">
        <x:v>5</x:v>
      </x:c>
      <x:c r="F18" s="24" t="str">
        <x:f>D18*E18&amp;" ("&amp;IF(D18*E18&gt;=16,"Критич.",IF(D18*E18&gt;=10,"Высокий",IF(D18*E18&gt;=5,"Умер.","Низкий")))&amp;")"</x:f>
        <x:v>20 (Критич.)</x:v>
      </x:c>
      <x:c r="G18" s="15" t="str">
        <x:v>Decimal-типы для денег (без float); тесты формул; ручное подтверждение итогов; импорт банковских выписок.</x:v>
      </x:c>
      <x:c r="H18" s="19" t="str">
        <x:v>6 дней</x:v>
      </x:c>
      <x:c r="I18" s="19" t="str">
        <x:v>Разработчик</x:v>
      </x:c>
      <x:c r="J18" s="22" t="n">
        <x:v>2</x:v>
      </x:c>
      <x:c r="K18" s="22" t="n">
        <x:v>3</x:v>
      </x:c>
      <x:c r="L18" s="26" t="str">
        <x:f>J18*K18&amp;" ("&amp;IF(J18*K18&gt;=16,"Критич.",IF(J18*K18&gt;=10,"Высокий",IF(J18*K18&gt;=5,"Умер.","Низкий")))&amp;")"</x:f>
        <x:v>6 (Умер.)</x:v>
      </x:c>
    </x:row>
    <x:row r="19" ht="64" customHeight="1">
      <x:c r="A19" s="18" t="n">
        <x:v>15</x:v>
      </x:c>
      <x:c r="B19" s="15" t="str">
        <x:v>Некорректная работа раздела «Ассистент» (зависает, ошибки)</x:v>
      </x:c>
      <x:c r="C19" s="19" t="str">
        <x:v>Разработчик</x:v>
      </x:c>
      <x:c r="D19" s="22" t="n">
        <x:v>5</x:v>
      </x:c>
      <x:c r="E19" s="22" t="n">
        <x:v>5</x:v>
      </x:c>
      <x:c r="F19" s="24" t="str">
        <x:f>D19*E19&amp;" ("&amp;IF(D19*E19&gt;=16,"Критич.",IF(D19*E19&gt;=10,"Высокий",IF(D19*E19&gt;=5,"Умер.","Низкий")))&amp;")"</x:f>
        <x:v>25 (Критич.)</x:v>
      </x:c>
      <x:c r="G19" s="15" t="str">
        <x:v>Таймауты и retry; fallback-модель (Claude / Gemini); понятные ошибки; тестирование на разных сценариях.</x:v>
      </x:c>
      <x:c r="H19" s="19" t="str">
        <x:v>7 дней</x:v>
      </x:c>
      <x:c r="I19" s="19" t="str">
        <x:v>Разработчик</x:v>
      </x:c>
      <x:c r="J19" s="22" t="n">
        <x:v>2</x:v>
      </x:c>
      <x:c r="K19" s="22" t="n">
        <x:v>4</x:v>
      </x:c>
      <x:c r="L19" s="26" t="str">
        <x:f>J19*K19&amp;" ("&amp;IF(J19*K19&gt;=16,"Критич.",IF(J19*K19&gt;=10,"Высокий",IF(J19*K19&gt;=5,"Умер.","Низкий")))&amp;")"</x:f>
        <x:v>8 (Умер.)</x:v>
      </x:c>
    </x:row>
  </x:sheetData>
  <x:conditionalFormatting sqref="F5:F19">
    <x:cfRule type="containsText" dxfId="0" priority="1" operator="containsText" text="Критич."/>
    <x:cfRule type="containsText" dxfId="1" priority="2" operator="containsText" text="Высокий"/>
    <x:cfRule type="containsText" dxfId="2" priority="3" operator="containsText" text="Умер."/>
    <x:cfRule type="containsText" dxfId="3" priority="4" operator="containsText" text="Низкий"/>
  </x:conditionalFormatting>
  <x:conditionalFormatting sqref="L5:L19">
    <x:cfRule type="containsText" dxfId="4" priority="5" operator="containsText" text="Критич."/>
    <x:cfRule type="containsText" dxfId="5" priority="6" operator="containsText" text="Высокий"/>
    <x:cfRule type="containsText" dxfId="6" priority="7" operator="containsText" text="Умер."/>
    <x:cfRule type="containsText" dxfId="7" priority="8" operator="containsText" text="Низкий"/>
  </x:conditionalFormatting>
  <x:dataValidations count="2">
    <x:dataValidation type="whole" operator="between" sqref="D5:E19">
      <x:formula1>1</x:formula1>
      <x:formula2>5</x:formula2>
    </x:dataValidation>
    <x:dataValidation type="whole" operator="between" sqref="J5:K19">
      <x:formula1>1</x:formula1>
      <x:formula2>5</x:formula2>
    </x:dataValidation>
  </x:dataValidations>
  <x:pageMargins left="0.7" right="0.7" top="0.75" bottom="0.75" header="0.3" footer="0.3"/>
</x:worksheet>
</file>