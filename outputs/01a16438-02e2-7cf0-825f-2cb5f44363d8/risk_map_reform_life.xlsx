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bdc424e2e14d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Карта рисков" sheetId="1" r:id="R40e9b58d4a34458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"/>
    <x:numFmt numFmtId="201" formatCode="0.0%"/>
    <x:numFmt numFmtId="202" formatCode="0"/>
  </x:numFmts>
  <x:fonts count="18">
    <x:font>
      <x:sz val="11"/>
      <x:name val="Carlito"/>
    </x:font>
    <x:font>
      <x:sz val="10"/>
      <x:color rgb="FF17212B"/>
      <x:name val="Arial"/>
    </x:font>
    <x:font>
      <x:b/>
      <x:sz val="16"/>
      <x:color rgb="FF17212B"/>
      <x:name val="Arial"/>
    </x:font>
    <x:font>
      <x:b/>
      <x:sz val="10"/>
      <x:color rgb="FF5B6775"/>
      <x:name val="Arial"/>
    </x:font>
    <x:font>
      <x:b/>
      <x:sz val="11"/>
      <x:color rgb="FFFFFFFF"/>
      <x:name val="Arial"/>
    </x:font>
    <x:font>
      <x:b/>
      <x:sz val="9"/>
      <x:color rgb="FF31465A"/>
      <x:name val="Arial"/>
    </x:font>
    <x:font>
      <x:b/>
      <x:sz val="11"/>
      <x:color rgb="FF991B1B"/>
      <x:name val="Arial"/>
    </x:font>
    <x:font>
      <x:b/>
      <x:sz val="11"/>
      <x:color rgb="FF276749"/>
      <x:name val="Arial"/>
    </x:font>
    <x:font>
      <x:b/>
      <x:sz val="11"/>
      <x:color rgb="FF805B00"/>
      <x:name val="Arial"/>
    </x:font>
    <x:font>
      <x:b/>
      <x:sz val="11"/>
      <x:color rgb="FF465464"/>
      <x:name val="Arial"/>
    </x:font>
    <x:font>
      <x:i/>
      <x:sz val="9"/>
      <x:color rgb="FF5B6775"/>
      <x:name val="Arial"/>
    </x:font>
    <x:font>
      <x:b/>
      <x:sz val="9"/>
      <x:color rgb="FFFFFFFF"/>
      <x:name val="Arial"/>
    </x:font>
    <x:font>
      <x:sz val="9"/>
      <x:color rgb="FF17212B"/>
      <x:name val="Arial"/>
    </x:font>
    <x:font>
      <x:sz val="9"/>
      <x:color rgb="FF6A5200"/>
      <x:name val="Arial"/>
    </x:font>
    <x:font>
      <x:b/>
      <x:sz val="9"/>
      <x:color rgb="FF1F4E78"/>
      <x:name val="Arial"/>
    </x:font>
    <x:font>
      <x:b/>
      <x:sz val="9"/>
      <x:color rgb="FF17212B"/>
      <x:name val="Arial"/>
    </x:font>
    <x:font>
      <x:sz val="9"/>
      <x:color rgb="FF2F3A45"/>
      <x:name val="Arial"/>
    </x:font>
    <x:font>
      <x:sz val="10"/>
      <x:color rgb="FF2F3A45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E8F0F7"/>
      </x:patternFill>
    </x:fill>
    <x:fill>
      <x:patternFill patternType="solid">
        <x:fgColor rgb="FFFDECEC"/>
      </x:patternFill>
    </x:fill>
    <x:fill>
      <x:patternFill patternType="solid">
        <x:fgColor rgb="FFEAF7EE"/>
      </x:patternFill>
    </x:fill>
    <x:fill>
      <x:patternFill patternType="solid">
        <x:fgColor rgb="FFFFF7D6"/>
      </x:patternFill>
    </x:fill>
    <x:fill>
      <x:patternFill patternType="solid">
        <x:fgColor rgb="FFEEF2F6"/>
      </x:patternFill>
    </x:fill>
    <x:fill>
      <x:patternFill patternType="solid">
        <x:fgColor rgb="FFF4F7FA"/>
      </x:patternFill>
    </x:fill>
    <x:fill>
      <x:patternFill patternType="solid">
        <x:fgColor rgb="FFEAF2FB"/>
      </x:patternFill>
    </x:fill>
  </x:fills>
  <x:borders count="12">
    <x:border>
      <x:left/>
      <x:right/>
      <x:top/>
      <x:bottom/>
      <x:diagonal/>
    </x:border>
    <x:border>
      <x:left style="thin">
        <x:color rgb="FFD7DEE8"/>
      </x:left>
      <x:right style="thin">
        <x:color rgb="FFD7DEE8"/>
      </x:right>
      <x:top style="thin">
        <x:color rgb="FFD7DEE8"/>
      </x:top>
      <x:bottom style="thin">
        <x:color rgb="FFD7DEE8"/>
      </x:bottom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  <x:border>
      <x:left style="thin">
        <x:color rgb="FFD7DEE8"/>
      </x:left>
      <x:right/>
      <x:top style="thin">
        <x:color rgb="FFD7DEE8"/>
      </x:top>
      <x:bottom style="thin">
        <x:color rgb="FFD7DEE8"/>
      </x:bottom>
      <x:diagonal/>
    </x:border>
    <x:border>
      <x:left/>
      <x:right/>
      <x:top style="thin">
        <x:color rgb="FFD7DEE8"/>
      </x:top>
      <x:bottom style="thin">
        <x:color rgb="FFD7DEE8"/>
      </x:bottom>
      <x:diagonal/>
    </x:border>
    <x:border>
      <x:left/>
      <x:right style="thin">
        <x:color rgb="FFD7DEE8"/>
      </x:right>
      <x:top style="thin">
        <x:color rgb="FFD7DEE8"/>
      </x:top>
      <x:bottom style="thin">
        <x:color rgb="FFD7DEE8"/>
      </x:bottom>
      <x:diagonal/>
    </x:border>
    <x:border>
      <x:left style="thin">
        <x:color rgb="FFD7DEE8"/>
      </x:left>
      <x:right/>
      <x:top style="thin">
        <x:color rgb="FFD7DEE8"/>
      </x:top>
      <x:bottom/>
      <x:diagonal/>
    </x:border>
    <x:border>
      <x:left/>
      <x:right/>
      <x:top style="thin">
        <x:color rgb="FFD7DEE8"/>
      </x:top>
      <x:bottom/>
      <x:diagonal/>
    </x:border>
    <x:border>
      <x:left/>
      <x:right style="thin">
        <x:color rgb="FFD7DEE8"/>
      </x:right>
      <x:top style="thin">
        <x:color rgb="FFD7DEE8"/>
      </x:top>
      <x:bottom/>
      <x:diagonal/>
    </x:border>
    <x:border>
      <x:left style="thin">
        <x:color rgb="FFD7DEE8"/>
      </x:left>
      <x:right/>
      <x:top/>
      <x:bottom style="thin">
        <x:color rgb="FFD7DEE8"/>
      </x:bottom>
      <x:diagonal/>
    </x:border>
    <x:border>
      <x:left/>
      <x:right/>
      <x:top/>
      <x:bottom style="thin">
        <x:color rgb="FFD7DEE8"/>
      </x:bottom>
      <x:diagonal/>
    </x:border>
    <x:border>
      <x:left/>
      <x:right style="thin">
        <x:color rgb="FFD7DEE8"/>
      </x:right>
      <x:top/>
      <x:bottom style="thin">
        <x:color rgb="FFD7DEE8"/>
      </x:bottom>
      <x:diagonal/>
    </x:border>
  </x:borders>
  <x:cellStyleXfs count="1">
    <x:xf numFmtId="0" fontId="0" fillId="0" borderId="0"/>
  </x:cellStyleXfs>
  <x:cellXfs count="7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left" vertical="center"/>
    </x:xf>
    <x:xf numFmtId="0" fontId="1" fillId="0" borderId="1" xfId="0" applyNumberFormat="1" applyFont="1" applyFill="1" applyBorder="1" applyAlignment="1">
      <x:alignment vertical="center"/>
    </x:xf>
    <x:xf numFmtId="0" fontId="1" fillId="3" borderId="1" xfId="0" applyNumberFormat="1" applyFont="1" applyFill="1" applyBorder="1" applyAlignment="1">
      <x:alignment vertical="center"/>
    </x:xf>
    <x:xf numFmtId="0" fontId="5" fillId="3" borderId="1" xfId="0" applyNumberFormat="1" applyFont="1" applyFill="1" applyBorder="1" applyAlignment="1">
      <x:alignment vertical="center"/>
    </x:xf>
    <x:xf numFmtId="0" fontId="5" fillId="3" borderId="1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/>
    </x:xf>
    <x:xf numFmtId="0" fontId="6" fillId="4" borderId="1" xfId="0" applyNumberFormat="1" applyFont="1" applyFill="1" applyBorder="1" applyAlignment="1">
      <x:alignment vertical="center"/>
    </x:xf>
    <x:xf numFmtId="0" fontId="6" fillId="4" borderId="1" xfId="0" applyNumberFormat="1" applyFont="1" applyFill="1" applyBorder="1" applyAlignment="1">
      <x:alignment horizontal="center" vertical="center"/>
    </x:xf>
    <x:xf numFmtId="0" fontId="1" fillId="5" borderId="1" xfId="0" applyNumberFormat="1" applyFont="1" applyFill="1" applyBorder="1" applyAlignment="1">
      <x:alignment vertical="center"/>
    </x:xf>
    <x:xf numFmtId="0" fontId="7" fillId="5" borderId="1" xfId="0" applyNumberFormat="1" applyFont="1" applyFill="1" applyBorder="1" applyAlignment="1">
      <x:alignment vertical="center"/>
    </x:xf>
    <x:xf numFmtId="0" fontId="7" fillId="5" borderId="1" xfId="0" applyNumberFormat="1" applyFont="1" applyFill="1" applyBorder="1" applyAlignment="1">
      <x:alignment horizontal="center" vertical="center"/>
    </x:xf>
    <x:xf numFmtId="0" fontId="1" fillId="6" borderId="1" xfId="0" applyNumberFormat="1" applyFont="1" applyFill="1" applyBorder="1" applyAlignment="1">
      <x:alignment vertical="center"/>
    </x:xf>
    <x:xf numFmtId="0" fontId="8" fillId="6" borderId="1" xfId="0" applyNumberFormat="1" applyFont="1" applyFill="1" applyBorder="1" applyAlignment="1">
      <x:alignment vertical="center"/>
    </x:xf>
    <x:xf numFmtId="0" fontId="8" fillId="6" borderId="1" xfId="0" applyNumberFormat="1" applyFont="1" applyFill="1" applyBorder="1" applyAlignment="1">
      <x:alignment horizontal="center" vertical="center"/>
    </x:xf>
    <x:xf numFmtId="0" fontId="1" fillId="7" borderId="1" xfId="0" applyNumberFormat="1" applyFont="1" applyFill="1" applyBorder="1" applyAlignment="1">
      <x:alignment vertical="center"/>
    </x:xf>
    <x:xf numFmtId="0" fontId="9" fillId="7" borderId="1" xfId="0" applyNumberFormat="1" applyFont="1" applyFill="1" applyBorder="1" applyAlignment="1">
      <x:alignment vertical="center"/>
    </x:xf>
    <x:xf numFmtId="0" fontId="9" fillId="7" borderId="1" xfId="0" applyNumberFormat="1" applyFont="1" applyFill="1" applyBorder="1" applyAlignment="1">
      <x:alignment horizontal="center" vertical="center"/>
    </x:xf>
    <x:xf numFmtId="200" fontId="1" fillId="0" borderId="1" xfId="0" applyNumberFormat="1" applyFont="1" applyFill="1" applyBorder="1" applyAlignment="1">
      <x:alignment vertical="center"/>
    </x:xf>
    <x:xf numFmtId="200" fontId="5" fillId="3" borderId="1" xfId="0" applyNumberFormat="1" applyFont="1" applyFill="1" applyBorder="1" applyAlignment="1">
      <x:alignment vertical="center" wrapText="1"/>
    </x:xf>
    <x:xf numFmtId="201" fontId="1" fillId="0" borderId="1" xfId="0" applyNumberFormat="1" applyFont="1" applyFill="1" applyBorder="1" applyAlignment="1">
      <x:alignment vertical="center"/>
    </x:xf>
    <x:xf numFmtId="202" fontId="1" fillId="0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 applyAlignment="1">
      <x:alignment vertical="center" wrapText="1"/>
    </x:xf>
    <x:xf numFmtId="0" fontId="11" fillId="2" borderId="0" xfId="0" applyNumberFormat="1" applyFont="1" applyFill="1" applyBorder="1" applyAlignment="1">
      <x:alignment vertical="center"/>
    </x:xf>
    <x:xf numFmtId="0" fontId="11" fillId="2" borderId="2" xfId="0" applyNumberFormat="1" applyFont="1" applyFill="1" applyBorder="1" applyAlignment="1">
      <x:alignment vertical="center"/>
    </x:xf>
    <x:xf numFmtId="0" fontId="11" fillId="2" borderId="2" xfId="0" applyNumberFormat="1" applyFont="1" applyFill="1" applyBorder="1" applyAlignment="1">
      <x:alignment vertical="center" wrapText="1"/>
    </x:xf>
    <x:xf numFmtId="0" fontId="11" fillId="2" borderId="2" xfId="0" applyNumberFormat="1" applyFont="1" applyFill="1" applyBorder="1" applyAlignment="1">
      <x:alignment horizontal="center" vertical="center" wrapText="1"/>
    </x:xf>
    <x:xf numFmtId="0" fontId="12" fillId="0" borderId="0" xfId="0" applyNumberFormat="1" applyFont="1" applyFill="1" applyBorder="1" applyAlignment="1">
      <x:alignment vertical="center"/>
    </x:xf>
    <x:xf numFmtId="0" fontId="12" fillId="0" borderId="3" xfId="0" applyNumberFormat="1" applyFont="1" applyFill="1" applyBorder="1" applyAlignment="1">
      <x:alignment vertical="center"/>
    </x:xf>
    <x:xf numFmtId="0" fontId="12" fillId="0" borderId="4" xfId="0" applyNumberFormat="1" applyFont="1" applyFill="1" applyBorder="1" applyAlignment="1">
      <x:alignment vertical="center"/>
    </x:xf>
    <x:xf numFmtId="0" fontId="12" fillId="0" borderId="5" xfId="0" applyNumberFormat="1" applyFont="1" applyFill="1" applyBorder="1" applyAlignment="1">
      <x:alignment vertical="center"/>
    </x:xf>
    <x:xf numFmtId="0" fontId="12" fillId="0" borderId="3" xfId="0" applyNumberFormat="1" applyFont="1" applyFill="1" applyBorder="1" applyAlignment="1">
      <x:alignment vertical="center" wrapText="1"/>
    </x:xf>
    <x:xf numFmtId="0" fontId="12" fillId="0" borderId="4" xfId="0" applyNumberFormat="1" applyFont="1" applyFill="1" applyBorder="1" applyAlignment="1">
      <x:alignment vertical="center" wrapText="1"/>
    </x:xf>
    <x:xf numFmtId="0" fontId="12" fillId="0" borderId="5" xfId="0" applyNumberFormat="1" applyFont="1" applyFill="1" applyBorder="1" applyAlignment="1">
      <x:alignment vertical="center" wrapText="1"/>
    </x:xf>
    <x:xf numFmtId="0" fontId="12" fillId="0" borderId="3" xfId="0" applyNumberFormat="1" applyFont="1" applyFill="1" applyBorder="1" applyAlignment="1">
      <x:alignment horizontal="center" vertical="center" wrapText="1"/>
    </x:xf>
    <x:xf numFmtId="0" fontId="12" fillId="0" borderId="4" xfId="0" applyNumberFormat="1" applyFont="1" applyFill="1" applyBorder="1" applyAlignment="1">
      <x:alignment horizontal="center" vertical="center" wrapText="1"/>
    </x:xf>
    <x:xf numFmtId="0" fontId="12" fillId="0" borderId="5" xfId="0" applyNumberFormat="1" applyFont="1" applyFill="1" applyBorder="1" applyAlignment="1">
      <x:alignment horizontal="center" vertical="center" wrapText="1"/>
    </x:xf>
    <x:xf numFmtId="0" fontId="12" fillId="6" borderId="4" xfId="0" applyNumberFormat="1" applyFont="1" applyFill="1" applyBorder="1" applyAlignment="1">
      <x:alignment horizontal="center" vertical="center" wrapText="1"/>
    </x:xf>
    <x:xf numFmtId="0" fontId="13" fillId="6" borderId="4" xfId="0" applyNumberFormat="1" applyFont="1" applyFill="1" applyBorder="1" applyAlignment="1">
      <x:alignment horizontal="center" vertical="center" wrapText="1"/>
    </x:xf>
    <x:xf numFmtId="0" fontId="12" fillId="8" borderId="4" xfId="0" applyNumberFormat="1" applyFont="1" applyFill="1" applyBorder="1" applyAlignment="1">
      <x:alignment horizontal="center" vertical="center" wrapText="1"/>
    </x:xf>
    <x:xf numFmtId="0" fontId="14" fillId="8" borderId="4" xfId="0" applyNumberFormat="1" applyFont="1" applyFill="1" applyBorder="1" applyAlignment="1">
      <x:alignment horizontal="center" vertical="center" wrapText="1"/>
    </x:xf>
    <x:xf numFmtId="0" fontId="12" fillId="8" borderId="5" xfId="0" applyNumberFormat="1" applyFont="1" applyFill="1" applyBorder="1" applyAlignment="1">
      <x:alignment horizontal="center" vertical="center" wrapText="1"/>
    </x:xf>
    <x:xf numFmtId="0" fontId="14" fillId="8" borderId="5" xfId="0" applyNumberFormat="1" applyFont="1" applyFill="1" applyBorder="1" applyAlignment="1">
      <x:alignment horizontal="center" vertical="center" wrapText="1"/>
    </x:xf>
    <x:xf numFmtId="0" fontId="5" fillId="0" borderId="3" xfId="0" applyNumberFormat="1" applyFont="1" applyFill="1" applyBorder="1" applyAlignment="1">
      <x:alignment horizontal="center" vertical="center" wrapText="1"/>
    </x:xf>
    <x:xf numFmtId="0" fontId="15" fillId="0" borderId="4" xfId="0" applyNumberFormat="1" applyFont="1" applyFill="1" applyBorder="1" applyAlignment="1">
      <x:alignment vertical="center" wrapText="1"/>
    </x:xf>
    <x:xf numFmtId="0" fontId="16" fillId="0" borderId="4" xfId="0" applyNumberFormat="1" applyFont="1" applyFill="1" applyBorder="1" applyAlignment="1">
      <x:alignment vertical="center" wrapText="1"/>
    </x:xf>
    <x:xf numFmtId="0" fontId="12" fillId="4" borderId="4" xfId="0" applyNumberFormat="1" applyFont="1" applyFill="1" applyBorder="1" applyAlignment="1">
      <x:alignment horizontal="center" vertical="center" wrapText="1"/>
    </x:xf>
    <x:xf numFmtId="0" fontId="5" fillId="4" borderId="4" xfId="0" applyNumberFormat="1" applyFont="1" applyFill="1" applyBorder="1" applyAlignment="1">
      <x:alignment horizontal="center" vertical="center" wrapText="1"/>
    </x:xf>
    <x:xf numFmtId="0" fontId="5" fillId="6" borderId="4" xfId="0" applyNumberFormat="1" applyFont="1" applyFill="1" applyBorder="1" applyAlignment="1">
      <x:alignment horizontal="center" vertical="center" wrapText="1"/>
    </x:xf>
    <x:xf numFmtId="0" fontId="12" fillId="9" borderId="4" xfId="0" applyNumberFormat="1" applyFont="1" applyFill="1" applyBorder="1" applyAlignment="1">
      <x:alignment horizontal="center" vertical="center" wrapText="1"/>
    </x:xf>
    <x:xf numFmtId="0" fontId="5" fillId="9" borderId="4" xfId="0" applyNumberFormat="1" applyFont="1" applyFill="1" applyBorder="1" applyAlignment="1">
      <x:alignment horizontal="center" vertical="center" wrapText="1"/>
    </x:xf>
    <x:xf numFmtId="0" fontId="12" fillId="7" borderId="4" xfId="0" applyNumberFormat="1" applyFont="1" applyFill="1" applyBorder="1" applyAlignment="1">
      <x:alignment horizontal="center" vertical="center" wrapText="1"/>
    </x:xf>
    <x:xf numFmtId="0" fontId="5" fillId="7" borderId="4" xfId="0" applyNumberFormat="1" applyFont="1" applyFill="1" applyBorder="1" applyAlignment="1">
      <x:alignment horizontal="center" vertical="center" wrapText="1"/>
    </x:xf>
    <x:xf numFmtId="0" fontId="1" fillId="8" borderId="0" xfId="0" applyNumberFormat="1" applyFont="1" applyFill="1" applyBorder="1" applyAlignment="1">
      <x:alignment vertical="center"/>
    </x:xf>
    <x:xf numFmtId="0" fontId="17" fillId="8" borderId="0" xfId="0" applyNumberFormat="1" applyFont="1" applyFill="1" applyBorder="1" applyAlignment="1">
      <x:alignment vertical="center"/>
    </x:xf>
    <x:xf numFmtId="0" fontId="17" fillId="8" borderId="6" xfId="0" applyNumberFormat="1" applyFont="1" applyFill="1" applyBorder="1" applyAlignment="1">
      <x:alignment vertical="center"/>
    </x:xf>
    <x:xf numFmtId="0" fontId="17" fillId="8" borderId="7" xfId="0" applyNumberFormat="1" applyFont="1" applyFill="1" applyBorder="1" applyAlignment="1">
      <x:alignment vertical="center"/>
    </x:xf>
    <x:xf numFmtId="0" fontId="17" fillId="8" borderId="8" xfId="0" applyNumberFormat="1" applyFont="1" applyFill="1" applyBorder="1" applyAlignment="1">
      <x:alignment vertical="center"/>
    </x:xf>
    <x:xf numFmtId="0" fontId="17" fillId="8" borderId="9" xfId="0" applyNumberFormat="1" applyFont="1" applyFill="1" applyBorder="1" applyAlignment="1">
      <x:alignment vertical="center"/>
    </x:xf>
    <x:xf numFmtId="0" fontId="17" fillId="8" borderId="10" xfId="0" applyNumberFormat="1" applyFont="1" applyFill="1" applyBorder="1" applyAlignment="1">
      <x:alignment vertical="center"/>
    </x:xf>
    <x:xf numFmtId="0" fontId="17" fillId="8" borderId="11" xfId="0" applyNumberFormat="1" applyFont="1" applyFill="1" applyBorder="1" applyAlignment="1">
      <x:alignment vertical="center"/>
    </x:xf>
    <x:xf numFmtId="0" fontId="17" fillId="8" borderId="6" xfId="0" applyNumberFormat="1" applyFont="1" applyFill="1" applyBorder="1" applyAlignment="1">
      <x:alignment vertical="center" wrapText="1"/>
    </x:xf>
    <x:xf numFmtId="0" fontId="17" fillId="8" borderId="7" xfId="0" applyNumberFormat="1" applyFont="1" applyFill="1" applyBorder="1" applyAlignment="1">
      <x:alignment vertical="center" wrapText="1"/>
    </x:xf>
    <x:xf numFmtId="0" fontId="17" fillId="8" borderId="8" xfId="0" applyNumberFormat="1" applyFont="1" applyFill="1" applyBorder="1" applyAlignment="1">
      <x:alignment vertical="center" wrapText="1"/>
    </x:xf>
    <x:xf numFmtId="0" fontId="17" fillId="8" borderId="9" xfId="0" applyNumberFormat="1" applyFont="1" applyFill="1" applyBorder="1" applyAlignment="1">
      <x:alignment vertical="center" wrapText="1"/>
    </x:xf>
    <x:xf numFmtId="0" fontId="17" fillId="8" borderId="10" xfId="0" applyNumberFormat="1" applyFont="1" applyFill="1" applyBorder="1" applyAlignment="1">
      <x:alignment vertical="center" wrapText="1"/>
    </x:xf>
    <x:xf numFmtId="0" fontId="17" fillId="8" borderId="1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b/>
        <x:color rgb="FF991B1B"/>
      </x:font>
      <x:fill>
        <x:patternFill patternType="solid">
          <x:bgColor rgb="FFFECACA"/>
        </x:patternFill>
      </x:fill>
    </x:dxf>
    <x:dxf>
      <x:font>
        <x:b/>
        <x:color rgb="FF9A3412"/>
      </x:font>
      <x:fill>
        <x:patternFill patternType="solid">
          <x:bgColor rgb="FFFED7AA"/>
        </x:patternFill>
      </x:fill>
    </x:dxf>
    <x:dxf>
      <x:font>
        <x:b/>
        <x:color rgb="FF805B00"/>
      </x:font>
      <x:fill>
        <x:patternFill patternType="solid">
          <x:bgColor rgb="FFFEF3C7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CACA"/>
        </x:patternFill>
      </x:fill>
    </x:dxf>
    <x:dxf>
      <x:font>
        <x:b/>
        <x:color rgb="FF9A3412"/>
      </x:font>
      <x:fill>
        <x:patternFill patternType="solid">
          <x:bgColor rgb="FFFED7AA"/>
        </x:patternFill>
      </x:fill>
    </x:dxf>
    <x:dxf>
      <x:font>
        <x:b/>
        <x:color rgb="FF805B00"/>
      </x:font>
      <x:fill>
        <x:patternFill patternType="solid">
          <x:bgColor rgb="FFFEF3C7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e2a31938a5b4712" /><Relationship Type="http://schemas.openxmlformats.org/officeDocument/2006/relationships/theme" Target="/xl/theme/theme1.xml" Id="R17e0edbdc19549b3" /><Relationship Type="http://schemas.openxmlformats.org/officeDocument/2006/relationships/sharedStrings" Target="/xl/sharedStrings.xml" Id="Ra45f59e49e35437e" /><Relationship Type="http://schemas.openxmlformats.org/officeDocument/2006/relationships/worksheet" Target="/xl/worksheets/sheet1.xml" Id="R40e9b58d4a34458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>
      <x:pane xSplit="3" ySplit="14" topLeftCell="D15" activePane="bottomRight" state="frozen"/>
    </x:sheetView>
  </x:sheetViews>
  <x:sheetFormatPr defaultRowHeight="15"/>
  <x:cols>
    <x:col min="1" max="1" width="10" hidden="0" customWidth="1"/>
    <x:col min="2" max="2" width="16" hidden="0" customWidth="1"/>
    <x:col min="3" max="3" width="34" hidden="0" customWidth="1"/>
    <x:col min="4" max="4" width="16" hidden="0" customWidth="1"/>
    <x:col min="5" max="5" width="12" hidden="0" customWidth="1"/>
    <x:col min="6" max="6" width="13" hidden="0" customWidth="1"/>
    <x:col min="7" max="7" width="13" hidden="0" customWidth="1"/>
    <x:col min="8" max="8" width="14" hidden="0" customWidth="1"/>
    <x:col min="9" max="9" width="62" hidden="0" customWidth="1"/>
    <x:col min="10" max="10" width="13" hidden="0" customWidth="1"/>
    <x:col min="11" max="11" width="16" hidden="0" customWidth="1"/>
    <x:col min="12" max="12" width="14" hidden="0" customWidth="1"/>
    <x:col min="13" max="13" width="15" hidden="0" customWidth="1"/>
    <x:col min="14" max="14" width="14" hidden="0" customWidth="1"/>
    <x:col min="15" max="15" width="1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 ht="28" customHeight="1">
      <x:c r="A2" s="3" t="str">
        <x:v>Карта рисков проекта RE:FORM LIFE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 ht="20" customHeight="1">
      <x:c r="A3" s="4" t="str">
        <x:v>Проект</x:v>
      </x:c>
      <x:c r="B3" s="5" t="str">
        <x:v>RE:FORM LIFE — AI-помощник, планирование и расчеты</x:v>
      </x:c>
      <x:c r="C3" s="5"/>
      <x:c r="D3" s="5"/>
      <x:c r="E3" s="5"/>
      <x:c r="F3" s="5"/>
      <x:c r="G3" s="5"/>
      <x:c r="H3" s="5"/>
      <x:c r="I3" s="5"/>
      <x:c r="J3" s="5"/>
      <x:c r="K3" s="5"/>
      <x:c r="L3" s="5"/>
      <x:c r="M3" s="5"/>
      <x:c r="N3" s="5"/>
      <x:c r="O3" s="5"/>
    </x:row>
    <x:row r="4" ht="20" customHeight="1">
      <x:c r="A4" s="4" t="str">
        <x:v>Методика</x:v>
      </x:c>
      <x:c r="B4" s="5" t="str">
        <x:v>Итоговый балл = вероятность × последствия; обе шкалы оцениваются от 1 до 5.</x:v>
      </x:c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</x:row>
    <x:row r="5" ht="20" customHeight="1">
      <x:c r="A5" s="4" t="str">
        <x:v>Источник</x:v>
      </x:c>
      <x:c r="B5" s="5" t="str">
        <x:v>Исходные риски, оценки и мероприятия предоставлены пользователем.</x:v>
      </x:c>
      <x:c r="C5" s="5"/>
      <x:c r="D5" s="5"/>
      <x:c r="E5" s="5"/>
      <x:c r="F5" s="5"/>
      <x:c r="G5" s="5"/>
      <x:c r="H5" s="5"/>
      <x:c r="I5" s="5"/>
      <x:c r="J5" s="5"/>
      <x:c r="K5" s="5"/>
      <x:c r="L5" s="5"/>
      <x:c r="M5" s="5"/>
      <x:c r="N5" s="5"/>
      <x:c r="O5" s="5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</x:row>
    <x:row r="7">
      <x:c r="A7" s="8" t="str">
        <x:v>Сводка по карте</x:v>
      </x:c>
      <x:c r="B7" s="8"/>
      <x:c r="C7" s="8"/>
      <x:c r="D7" s="8"/>
      <x:c r="E7" s="8"/>
      <x:c r="F7" s="8"/>
      <x:c r="G7" s="8"/>
      <x:c r="H7" s="8"/>
      <x:c r="I7" s="8"/>
      <x:c r="J7" s="8"/>
      <x:c r="K7" s="8"/>
      <x:c r="L7" s="8"/>
      <x:c r="M7" s="8"/>
      <x:c r="N7" s="8"/>
      <x:c r="O7" s="8"/>
    </x:row>
    <x:row r="8" ht="28" customHeight="1">
      <x:c r="A8" s="12" t="str">
        <x:v>Критические до</x:v>
      </x:c>
      <x:c r="B8" s="15" t="n">
        <x:f>COUNTIF($H$15:$H$29,"Критический")</x:f>
        <x:v>11</x:v>
      </x:c>
      <x:c r="C8" s="12" t="str">
        <x:v>Критические после</x:v>
      </x:c>
      <x:c r="D8" s="18" t="n">
        <x:f>COUNTIF($O$15:$O$29,"Критический")</x:f>
        <x:v>0</x:v>
      </x:c>
      <x:c r="E8" s="12" t="str">
        <x:v>Высокие до</x:v>
      </x:c>
      <x:c r="F8" s="21" t="n">
        <x:f>COUNTIF($H$15:$H$29,"Высокий")</x:f>
        <x:v>3</x:v>
      </x:c>
      <x:c r="G8" s="12" t="str">
        <x:v>Высокие после</x:v>
      </x:c>
      <x:c r="H8" s="24" t="n">
        <x:f>COUNTIF($O$15:$O$29,"Высокий")</x:f>
        <x:v>0</x:v>
      </x:c>
      <x:c r="I8" s="12" t="str">
        <x:v>Средний балл до</x:v>
      </x:c>
      <x:c r="J8" s="25" t="n">
        <x:f>AVERAGE($G$15:$G$29)</x:f>
        <x:v>17.133333333333333</x:v>
      </x:c>
      <x:c r="K8" s="26" t="str">
        <x:v>Средний балл после</x:v>
      </x:c>
      <x:c r="L8" s="25" t="n">
        <x:f>AVERAGE($N$15:$N$29)</x:f>
        <x:v>6.933333333333334</x:v>
      </x:c>
      <x:c r="M8" s="12" t="str">
        <x:v>Всего рисков</x:v>
      </x:c>
      <x:c r="N8" s="28" t="n">
        <x:f>COUNTA($A$15:$A$29)</x:f>
        <x:v>15</x:v>
      </x:c>
      <x:c r="O8" s="2"/>
    </x:row>
    <x:row r="9" ht="28" customHeight="1">
      <x:c r="A9" s="12" t="str">
        <x:v>Must have</x:v>
      </x:c>
      <x:c r="B9" s="15" t="n">
        <x:f>COUNTIF($B$15:$B$29,"Must have")</x:f>
        <x:v>9</x:v>
      </x:c>
      <x:c r="C9" s="12" t="str">
        <x:v>Should have</x:v>
      </x:c>
      <x:c r="D9" s="18" t="n">
        <x:f>COUNTIF($B$15:$B$29,"Should have")</x:f>
        <x:v>4</x:v>
      </x:c>
      <x:c r="E9" s="12" t="str">
        <x:v>Could have</x:v>
      </x:c>
      <x:c r="F9" s="21" t="n">
        <x:f>COUNTIF($B$15:$B$29,"Could have")</x:f>
        <x:v>1</x:v>
      </x:c>
      <x:c r="G9" s="12" t="str">
        <x:v>Won't have</x:v>
      </x:c>
      <x:c r="H9" s="24" t="n">
        <x:f>COUNTIF($B$15:$B$29,"Won't have")</x:f>
        <x:v>1</x:v>
      </x:c>
      <x:c r="I9" s="12" t="str">
        <x:v>Снижение среднего балла</x:v>
      </x:c>
      <x:c r="J9" s="27" t="n">
        <x:f>1-$L$8/$J$8</x:f>
        <x:v>0.5953307392996109</x:v>
      </x:c>
      <x:c r="K9" s="12" t="str"/>
      <x:c r="L9" s="9"/>
      <x:c r="M9" s="12" t="str"/>
      <x:c r="N9" s="9"/>
      <x:c r="O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</x:row>
    <x:row r="11" ht="24" customHeight="1">
      <x:c r="A11" s="30" t="str">
        <x:v>Шкала риска</x:v>
      </x:c>
      <x:c r="B11" s="32" t="str">
        <x:v>1–4 — Низкий; 5–9 — Умеренный; 10–15 — Высокий; 16–25 — Критический.</x:v>
      </x:c>
      <x:c r="C11" s="32"/>
      <x:c r="D11" s="32"/>
      <x:c r="E11" s="32"/>
      <x:c r="F11" s="32"/>
      <x:c r="G11" s="32"/>
      <x:c r="H11" s="32"/>
      <x:c r="I11" s="32"/>
      <x:c r="J11" s="32"/>
      <x:c r="K11" s="32"/>
      <x:c r="L11" s="32"/>
      <x:c r="M11" s="32"/>
      <x:c r="N11" s="32"/>
      <x:c r="O11" s="32"/>
    </x:row>
    <x:row r="12" ht="24" customHeight="1">
      <x:c r="A12" s="30" t="str">
        <x:v>MoSCoW</x:v>
      </x:c>
      <x:c r="B12" s="32" t="str">
        <x:v>Must — обязательно для надежной работы; Should — важно для качества MVP; Could — желательно; Won't — отложено за рамки текущего MVP.</x:v>
      </x:c>
      <x:c r="C12" s="32"/>
      <x:c r="D12" s="32"/>
      <x:c r="E12" s="32"/>
      <x:c r="F12" s="32"/>
      <x:c r="G12" s="32"/>
      <x:c r="H12" s="32"/>
      <x:c r="I12" s="32"/>
      <x:c r="J12" s="32"/>
      <x:c r="K12" s="32"/>
      <x:c r="L12" s="32"/>
      <x:c r="M12" s="32"/>
      <x:c r="N12" s="32"/>
      <x:c r="O12" s="32"/>
    </x:row>
    <x:row r="13" ht="24" customHeight="1">
      <x:c r="A13" s="30" t="str">
        <x:v>Оценки</x:v>
      </x:c>
      <x:c r="B13" s="32" t="str">
        <x:v>Желтые ячейки — исходные оценки, которые можно менять; итоговые баллы и уровни рассчитываются формулами.</x:v>
      </x:c>
      <x:c r="C13" s="32"/>
      <x:c r="D13" s="32"/>
      <x:c r="E13" s="32"/>
      <x:c r="F13" s="32"/>
      <x:c r="G13" s="32"/>
      <x:c r="H13" s="32"/>
      <x:c r="I13" s="32"/>
      <x:c r="J13" s="32"/>
      <x:c r="K13" s="32"/>
      <x:c r="L13" s="32"/>
      <x:c r="M13" s="32"/>
      <x:c r="N13" s="32"/>
      <x:c r="O13" s="32"/>
    </x:row>
    <x:row r="14" ht="50" customHeight="1">
      <x:c r="A14" s="36" t="str">
        <x:v>№ п/п</x:v>
      </x:c>
      <x:c r="B14" s="36" t="str">
        <x:v>MoSCoW</x:v>
      </x:c>
      <x:c r="C14" s="36" t="str">
        <x:v>Наименование риска</x:v>
      </x:c>
      <x:c r="D14" s="36" t="str">
        <x:v>Владелец риска</x:v>
      </x:c>
      <x:c r="E14" s="36" t="str">
        <x:v>Вероятность (до)</x:v>
      </x:c>
      <x:c r="F14" s="36" t="str">
        <x:v>Последствия (до)</x:v>
      </x:c>
      <x:c r="G14" s="36" t="str">
        <x:v>Общая (до), балл</x:v>
      </x:c>
      <x:c r="H14" s="36" t="str">
        <x:v>Уровень (до)</x:v>
      </x:c>
      <x:c r="I14" s="36" t="str">
        <x:v>Мероприятия по управлению риском</x:v>
      </x:c>
      <x:c r="J14" s="36" t="str">
        <x:v>Срок</x:v>
      </x:c>
      <x:c r="K14" s="36" t="str">
        <x:v>Ответственный</x:v>
      </x:c>
      <x:c r="L14" s="36" t="str">
        <x:v>Вероятность (после)</x:v>
      </x:c>
      <x:c r="M14" s="36" t="str">
        <x:v>Последствия (после)</x:v>
      </x:c>
      <x:c r="N14" s="36" t="str">
        <x:v>Общая (после), балл</x:v>
      </x:c>
      <x:c r="O14" s="36" t="str">
        <x:v>Уровень (после)</x:v>
      </x:c>
    </x:row>
    <x:row r="15" ht="68" customHeight="1">
      <x:c r="A15" s="53" t="n">
        <x:v>1</x:v>
      </x:c>
      <x:c r="B15" s="57" t="str">
        <x:v>Must have</x:v>
      </x:c>
      <x:c r="C15" s="54" t="str">
        <x:v>Окончание подписки на ChatGPT / блокировка аккаунта</x:v>
      </x:c>
      <x:c r="D15" s="45" t="str">
        <x:v>Разработчик</x:v>
      </x:c>
      <x:c r="E15" s="48" t="n">
        <x:v>4</x:v>
      </x:c>
      <x:c r="F15" s="48" t="n">
        <x:v>5</x:v>
      </x:c>
      <x:c r="G15" s="50" t="n">
        <x:f>E15*F15</x:f>
        <x:v>20</x:v>
      </x:c>
      <x:c r="H15" s="50" t="str">
        <x:f>IF(G15&gt;=16,"Критический",IF(G15&gt;=10,"Высокий",IF(G15&gt;=5,"Умеренный","Низкий")))</x:f>
        <x:v>Критический</x:v>
      </x:c>
      <x:c r="I15" s="55" t="str">
        <x:v>Оформить подписку на 3–6 мес.; настроить автопродление; иметь резервный аккаунт; держать актуальные альтернативы: Claude Opus 5 / Sonnet 5.5 или Gemini 4 Argon.</x:v>
      </x:c>
      <x:c r="J15" s="45" t="str">
        <x:v>1 день</x:v>
      </x:c>
      <x:c r="K15" s="45" t="str">
        <x:v>Разработчик</x:v>
      </x:c>
      <x:c r="L15" s="48" t="n">
        <x:v>2</x:v>
      </x:c>
      <x:c r="M15" s="48" t="n">
        <x:v>4</x:v>
      </x:c>
      <x:c r="N15" s="50" t="n">
        <x:f>L15*M15</x:f>
        <x:v>8</x:v>
      </x:c>
      <x:c r="O15" s="52" t="str">
        <x:f>IF(N15&gt;=16,"Критический",IF(N15&gt;=10,"Высокий",IF(N15&gt;=5,"Умеренный","Низкий")))</x:f>
        <x:v>Умеренный</x:v>
      </x:c>
    </x:row>
    <x:row r="16" ht="68" customHeight="1">
      <x:c r="A16" s="53" t="n">
        <x:v>2</x:v>
      </x:c>
      <x:c r="B16" s="57" t="str">
        <x:v>Must have</x:v>
      </x:c>
      <x:c r="C16" s="54" t="str">
        <x:v>Сбой в работе сервисов ChatGPT (недоступность)</x:v>
      </x:c>
      <x:c r="D16" s="45" t="str">
        <x:v>Разработчик</x:v>
      </x:c>
      <x:c r="E16" s="48" t="n">
        <x:v>4</x:v>
      </x:c>
      <x:c r="F16" s="48" t="n">
        <x:v>4</x:v>
      </x:c>
      <x:c r="G16" s="50" t="n">
        <x:f>E16*F16</x:f>
        <x:v>16</x:v>
      </x:c>
      <x:c r="H16" s="50" t="str">
        <x:f>IF(G16&gt;=16,"Критический",IF(G16&gt;=10,"Высокий",IF(G16&gt;=5,"Умеренный","Низкий")))</x:f>
        <x:v>Критический</x:v>
      </x:c>
      <x:c r="I16" s="55" t="str">
        <x:v>Использовать стабильные API-эндпоинты; кэширование ответов; fallback: API Gemini 4 Argon или Claude Opus 5 / Sonnet 5.5.</x:v>
      </x:c>
      <x:c r="J16" s="45" t="str">
        <x:v>2 дня</x:v>
      </x:c>
      <x:c r="K16" s="45" t="str">
        <x:v>Разработчик</x:v>
      </x:c>
      <x:c r="L16" s="48" t="n">
        <x:v>3</x:v>
      </x:c>
      <x:c r="M16" s="48" t="n">
        <x:v>3</x:v>
      </x:c>
      <x:c r="N16" s="50" t="n">
        <x:f>L16*M16</x:f>
        <x:v>9</x:v>
      </x:c>
      <x:c r="O16" s="52" t="str">
        <x:f>IF(N16&gt;=16,"Критический",IF(N16&gt;=10,"Высокий",IF(N16&gt;=5,"Умеренный","Низкий")))</x:f>
        <x:v>Умеренный</x:v>
      </x:c>
    </x:row>
    <x:row r="17" ht="68" customHeight="1">
      <x:c r="A17" s="53" t="n">
        <x:v>3</x:v>
      </x:c>
      <x:c r="B17" s="57" t="str">
        <x:v>Must have</x:v>
      </x:c>
      <x:c r="C17" s="54" t="str">
        <x:v>Некорректная работа ИИ-ассистента (галлюцинации, ошибки)</x:v>
      </x:c>
      <x:c r="D17" s="45" t="str">
        <x:v>Разработчик</x:v>
      </x:c>
      <x:c r="E17" s="48" t="n">
        <x:v>4</x:v>
      </x:c>
      <x:c r="F17" s="48" t="n">
        <x:v>5</x:v>
      </x:c>
      <x:c r="G17" s="50" t="n">
        <x:f>E17*F17</x:f>
        <x:v>20</x:v>
      </x:c>
      <x:c r="H17" s="50" t="str">
        <x:f>IF(G17&gt;=16,"Критический",IF(G17&gt;=10,"Высокий",IF(G17&gt;=5,"Умеренный","Низкий")))</x:f>
        <x:v>Критический</x:v>
      </x:c>
      <x:c r="I17" s="55" t="str">
        <x:v>Жесткая валидация ответов (JSON Schema); ручное подтверждение критичных задач; использование RAG (поиск по базе знаний).</x:v>
      </x:c>
      <x:c r="J17" s="45" t="str">
        <x:v>5 дней</x:v>
      </x:c>
      <x:c r="K17" s="45" t="str">
        <x:v>Разработчик</x:v>
      </x:c>
      <x:c r="L17" s="48" t="n">
        <x:v>2</x:v>
      </x:c>
      <x:c r="M17" s="48" t="n">
        <x:v>4</x:v>
      </x:c>
      <x:c r="N17" s="50" t="n">
        <x:f>L17*M17</x:f>
        <x:v>8</x:v>
      </x:c>
      <x:c r="O17" s="52" t="str">
        <x:f>IF(N17&gt;=16,"Критический",IF(N17&gt;=10,"Высокий",IF(N17&gt;=5,"Умеренный","Низкий")))</x:f>
        <x:v>Умеренный</x:v>
      </x:c>
    </x:row>
    <x:row r="18" ht="68" customHeight="1">
      <x:c r="A18" s="53" t="n">
        <x:v>4</x:v>
      </x:c>
      <x:c r="B18" s="58" t="str">
        <x:v>Should have</x:v>
      </x:c>
      <x:c r="C18" s="54" t="str">
        <x:v>Превышение бюджета на API / токены</x:v>
      </x:c>
      <x:c r="D18" s="45" t="str">
        <x:v>Разработчик</x:v>
      </x:c>
      <x:c r="E18" s="48" t="n">
        <x:v>3</x:v>
      </x:c>
      <x:c r="F18" s="48" t="n">
        <x:v>4</x:v>
      </x:c>
      <x:c r="G18" s="50" t="n">
        <x:f>E18*F18</x:f>
        <x:v>12</x:v>
      </x:c>
      <x:c r="H18" s="50" t="str">
        <x:f>IF(G18&gt;=16,"Критический",IF(G18&gt;=10,"Высокий",IF(G18&gt;=5,"Умеренный","Низкий")))</x:f>
        <x:v>Высокий</x:v>
      </x:c>
      <x:c r="I18" s="55" t="str">
        <x:v>Лимиты потребления токенов (Rate Limiting); оптимизация промптов; кэширование запросов.</x:v>
      </x:c>
      <x:c r="J18" s="45" t="str">
        <x:v>3 дня</x:v>
      </x:c>
      <x:c r="K18" s="45" t="str">
        <x:v>Разработчик</x:v>
      </x:c>
      <x:c r="L18" s="48" t="n">
        <x:v>2</x:v>
      </x:c>
      <x:c r="M18" s="48" t="n">
        <x:v>3</x:v>
      </x:c>
      <x:c r="N18" s="50" t="n">
        <x:f>L18*M18</x:f>
        <x:v>6</x:v>
      </x:c>
      <x:c r="O18" s="52" t="str">
        <x:f>IF(N18&gt;=16,"Критический",IF(N18&gt;=10,"Высокий",IF(N18&gt;=5,"Умеренный","Низкий")))</x:f>
        <x:v>Умеренный</x:v>
      </x:c>
    </x:row>
    <x:row r="19" ht="68" customHeight="1">
      <x:c r="A19" s="53" t="n">
        <x:v>5</x:v>
      </x:c>
      <x:c r="B19" s="57" t="str">
        <x:v>Must have</x:v>
      </x:c>
      <x:c r="C19" s="54" t="str">
        <x:v>Утечка персональных данных пользователей</x:v>
      </x:c>
      <x:c r="D19" s="45" t="str">
        <x:v>Разработчик</x:v>
      </x:c>
      <x:c r="E19" s="48" t="n">
        <x:v>3</x:v>
      </x:c>
      <x:c r="F19" s="48" t="n">
        <x:v>5</x:v>
      </x:c>
      <x:c r="G19" s="50" t="n">
        <x:f>E19*F19</x:f>
        <x:v>15</x:v>
      </x:c>
      <x:c r="H19" s="50" t="str">
        <x:f>IF(G19&gt;=16,"Критический",IF(G19&gt;=10,"Высокий",IF(G19&gt;=5,"Умеренный","Низкий")))</x:f>
        <x:v>Высокий</x:v>
      </x:c>
      <x:c r="I19" s="55" t="str">
        <x:v>Анонимизация данных перед отправкой в API; HTTPS; шифрованное хранение данных.</x:v>
      </x:c>
      <x:c r="J19" s="45" t="str">
        <x:v>4 дня</x:v>
      </x:c>
      <x:c r="K19" s="45" t="str">
        <x:v>Разработчик</x:v>
      </x:c>
      <x:c r="L19" s="48" t="n">
        <x:v>2</x:v>
      </x:c>
      <x:c r="M19" s="48" t="n">
        <x:v>4</x:v>
      </x:c>
      <x:c r="N19" s="50" t="n">
        <x:f>L19*M19</x:f>
        <x:v>8</x:v>
      </x:c>
      <x:c r="O19" s="52" t="str">
        <x:f>IF(N19&gt;=16,"Критический",IF(N19&gt;=10,"Высокий",IF(N19&gt;=5,"Умеренный","Низкий")))</x:f>
        <x:v>Умеренный</x:v>
      </x:c>
    </x:row>
    <x:row r="20" ht="68" customHeight="1">
      <x:c r="A20" s="53" t="n">
        <x:v>6</x:v>
      </x:c>
      <x:c r="B20" s="58" t="str">
        <x:v>Should have</x:v>
      </x:c>
      <x:c r="C20" s="54" t="str">
        <x:v>Нехватка времени / ресурсов на разработку (выгорание)</x:v>
      </x:c>
      <x:c r="D20" s="45" t="str">
        <x:v>Разработчик</x:v>
      </x:c>
      <x:c r="E20" s="48" t="n">
        <x:v>4</x:v>
      </x:c>
      <x:c r="F20" s="48" t="n">
        <x:v>3</x:v>
      </x:c>
      <x:c r="G20" s="50" t="n">
        <x:f>E20*F20</x:f>
        <x:v>12</x:v>
      </x:c>
      <x:c r="H20" s="50" t="str">
        <x:f>IF(G20&gt;=16,"Критический",IF(G20&gt;=10,"Высокий",IF(G20&gt;=5,"Умеренный","Низкий")))</x:f>
        <x:v>Высокий</x:v>
      </x:c>
      <x:c r="I20" s="55" t="str">
        <x:v>Разбить проект на MVP; использовать готовые фреймворки (LangChain); строгий тайм-менеджмент.</x:v>
      </x:c>
      <x:c r="J20" s="45" t="str">
        <x:v>Постоянно</x:v>
      </x:c>
      <x:c r="K20" s="45" t="str">
        <x:v>Разработчик</x:v>
      </x:c>
      <x:c r="L20" s="48" t="n">
        <x:v>3</x:v>
      </x:c>
      <x:c r="M20" s="48" t="n">
        <x:v>3</x:v>
      </x:c>
      <x:c r="N20" s="50" t="n">
        <x:f>L20*M20</x:f>
        <x:v>9</x:v>
      </x:c>
      <x:c r="O20" s="52" t="str">
        <x:f>IF(N20&gt;=16,"Критический",IF(N20&gt;=10,"Высокий",IF(N20&gt;=5,"Умеренный","Низкий")))</x:f>
        <x:v>Умеренный</x:v>
      </x:c>
    </x:row>
    <x:row r="21" ht="68" customHeight="1">
      <x:c r="A21" s="53" t="n">
        <x:v>7</x:v>
      </x:c>
      <x:c r="B21" s="58" t="str">
        <x:v>Should have</x:v>
      </x:c>
      <x:c r="C21" s="54" t="str">
        <x:v>Неудобный / перегруженный интерфейс</x:v>
      </x:c>
      <x:c r="D21" s="45" t="str">
        <x:v>Разработчик</x:v>
      </x:c>
      <x:c r="E21" s="48" t="n">
        <x:v>4</x:v>
      </x:c>
      <x:c r="F21" s="48" t="n">
        <x:v>4</x:v>
      </x:c>
      <x:c r="G21" s="50" t="n">
        <x:f>E21*F21</x:f>
        <x:v>16</x:v>
      </x:c>
      <x:c r="H21" s="50" t="str">
        <x:f>IF(G21&gt;=16,"Критический",IF(G21&gt;=10,"Высокий",IF(G21&gt;=5,"Умеренный","Низкий")))</x:f>
        <x:v>Критический</x:v>
      </x:c>
      <x:c r="I21" s="55" t="str">
        <x:v>Юзабилити-тестирование на 3–5 фокус-группах; UI-киты (Material UI, Ant Design); прототип в Figma.</x:v>
      </x:c>
      <x:c r="J21" s="45" t="str">
        <x:v>5 дней</x:v>
      </x:c>
      <x:c r="K21" s="45" t="str">
        <x:v>Разработчик</x:v>
      </x:c>
      <x:c r="L21" s="48" t="n">
        <x:v>2</x:v>
      </x:c>
      <x:c r="M21" s="48" t="n">
        <x:v>3</x:v>
      </x:c>
      <x:c r="N21" s="50" t="n">
        <x:f>L21*M21</x:f>
        <x:v>6</x:v>
      </x:c>
      <x:c r="O21" s="52" t="str">
        <x:f>IF(N21&gt;=16,"Критический",IF(N21&gt;=10,"Высокий",IF(N21&gt;=5,"Умеренный","Низкий")))</x:f>
        <x:v>Умеренный</x:v>
      </x:c>
    </x:row>
    <x:row r="22" ht="68" customHeight="1">
      <x:c r="A22" s="53" t="n">
        <x:v>8</x:v>
      </x:c>
      <x:c r="B22" s="58" t="str">
        <x:v>Should have</x:v>
      </x:c>
      <x:c r="C22" s="54" t="str">
        <x:v>Непонимание пользователем, как создавать сценарии для ИИ</x:v>
      </x:c>
      <x:c r="D22" s="45" t="str">
        <x:v>Разработчик</x:v>
      </x:c>
      <x:c r="E22" s="48" t="n">
        <x:v>5</x:v>
      </x:c>
      <x:c r="F22" s="48" t="n">
        <x:v>4</x:v>
      </x:c>
      <x:c r="G22" s="50" t="n">
        <x:f>E22*F22</x:f>
        <x:v>20</x:v>
      </x:c>
      <x:c r="H22" s="50" t="str">
        <x:f>IF(G22&gt;=16,"Критический",IF(G22&gt;=10,"Высокий",IF(G22&gt;=5,"Умеренный","Низкий")))</x:f>
        <x:v>Критический</x:v>
      </x:c>
      <x:c r="I22" s="55" t="str">
        <x:v>Интуитивный конструктор сценариев (drag-and-drop/шаблоны); подсказки; онбординг; примеры готовых сценариев.</x:v>
      </x:c>
      <x:c r="J22" s="45" t="str">
        <x:v>7 дней</x:v>
      </x:c>
      <x:c r="K22" s="45" t="str">
        <x:v>Разработчик</x:v>
      </x:c>
      <x:c r="L22" s="48" t="n">
        <x:v>2</x:v>
      </x:c>
      <x:c r="M22" s="48" t="n">
        <x:v>3</x:v>
      </x:c>
      <x:c r="N22" s="50" t="n">
        <x:f>L22*M22</x:f>
        <x:v>6</x:v>
      </x:c>
      <x:c r="O22" s="52" t="str">
        <x:f>IF(N22&gt;=16,"Критический",IF(N22&gt;=10,"Высокий",IF(N22&gt;=5,"Умеренный","Низкий")))</x:f>
        <x:v>Умеренный</x:v>
      </x:c>
    </x:row>
    <x:row r="23" ht="68" customHeight="1">
      <x:c r="A23" s="53" t="n">
        <x:v>9</x:v>
      </x:c>
      <x:c r="B23" s="60" t="str">
        <x:v>Could have</x:v>
      </x:c>
      <x:c r="C23" s="54" t="str">
        <x:v>Плохая визуальная обратная связь от ИИ (непонятно, что сделал ассистент)</x:v>
      </x:c>
      <x:c r="D23" s="45" t="str">
        <x:v>Разработчик</x:v>
      </x:c>
      <x:c r="E23" s="48" t="n">
        <x:v>4</x:v>
      </x:c>
      <x:c r="F23" s="48" t="n">
        <x:v>4</x:v>
      </x:c>
      <x:c r="G23" s="50" t="n">
        <x:f>E23*F23</x:f>
        <x:v>16</x:v>
      </x:c>
      <x:c r="H23" s="50" t="str">
        <x:f>IF(G23&gt;=16,"Критический",IF(G23&gt;=10,"Высокий",IF(G23&gt;=5,"Умеренный","Низкий")))</x:f>
        <x:v>Критический</x:v>
      </x:c>
      <x:c r="I23" s="55" t="str">
        <x:v>Четкие визуальные статусы (иконки, прогресс-бары); логи действий ИИ; анимации переходов.</x:v>
      </x:c>
      <x:c r="J23" s="45" t="str">
        <x:v>4 дня</x:v>
      </x:c>
      <x:c r="K23" s="45" t="str">
        <x:v>Разработчик</x:v>
      </x:c>
      <x:c r="L23" s="48" t="n">
        <x:v>2</x:v>
      </x:c>
      <x:c r="M23" s="48" t="n">
        <x:v>3</x:v>
      </x:c>
      <x:c r="N23" s="50" t="n">
        <x:f>L23*M23</x:f>
        <x:v>6</x:v>
      </x:c>
      <x:c r="O23" s="52" t="str">
        <x:f>IF(N23&gt;=16,"Критический",IF(N23&gt;=10,"Высокий",IF(N23&gt;=5,"Умеренный","Низкий")))</x:f>
        <x:v>Умеренный</x:v>
      </x:c>
    </x:row>
    <x:row r="24" ht="68" customHeight="1">
      <x:c r="A24" s="53" t="n">
        <x:v>10</x:v>
      </x:c>
      <x:c r="B24" s="62" t="str">
        <x:v>Won't have</x:v>
      </x:c>
      <x:c r="C24" s="54" t="str">
        <x:v>Отсутствие адаптивности под мобильные устройства</x:v>
      </x:c>
      <x:c r="D24" s="45" t="str">
        <x:v>Разработчик</x:v>
      </x:c>
      <x:c r="E24" s="48" t="n">
        <x:v>3</x:v>
      </x:c>
      <x:c r="F24" s="48" t="n">
        <x:v>3</x:v>
      </x:c>
      <x:c r="G24" s="50" t="n">
        <x:f>E24*F24</x:f>
        <x:v>9</x:v>
      </x:c>
      <x:c r="H24" s="50" t="str">
        <x:f>IF(G24&gt;=16,"Критический",IF(G24&gt;=10,"Высокий",IF(G24&gt;=5,"Умеренный","Низкий")))</x:f>
        <x:v>Умеренный</x:v>
      </x:c>
      <x:c r="I24" s="55" t="str">
        <x:v>Адаптивный дизайн (flexbox/grid); тесты на эмуляторах; UI-фреймворк с мобильной поддержкой. В текущем MVP риск принят как отложенный.</x:v>
      </x:c>
      <x:c r="J24" s="45" t="str">
        <x:v>3 дня</x:v>
      </x:c>
      <x:c r="K24" s="45" t="str">
        <x:v>Разработчик</x:v>
      </x:c>
      <x:c r="L24" s="48" t="n">
        <x:v>2</x:v>
      </x:c>
      <x:c r="M24" s="48" t="n">
        <x:v>2</x:v>
      </x:c>
      <x:c r="N24" s="50" t="n">
        <x:f>L24*M24</x:f>
        <x:v>4</x:v>
      </x:c>
      <x:c r="O24" s="52" t="str">
        <x:f>IF(N24&gt;=16,"Критический",IF(N24&gt;=10,"Высокий",IF(N24&gt;=5,"Умеренный","Низкий")))</x:f>
        <x:v>Низкий</x:v>
      </x:c>
    </x:row>
    <x:row r="25" ht="68" customHeight="1">
      <x:c r="A25" s="53" t="n">
        <x:v>11</x:v>
      </x:c>
      <x:c r="B25" s="57" t="str">
        <x:v>Must have</x:v>
      </x:c>
      <x:c r="C25" s="54" t="str">
        <x:v>Баги в разделе «План на месяц» (потеря данных, наложение задач)</x:v>
      </x:c>
      <x:c r="D25" s="45" t="str">
        <x:v>Разработчик</x:v>
      </x:c>
      <x:c r="E25" s="48" t="n">
        <x:v>4</x:v>
      </x:c>
      <x:c r="F25" s="48" t="n">
        <x:v>5</x:v>
      </x:c>
      <x:c r="G25" s="50" t="n">
        <x:f>E25*F25</x:f>
        <x:v>20</x:v>
      </x:c>
      <x:c r="H25" s="50" t="str">
        <x:f>IF(G25&gt;=16,"Критический",IF(G25&gt;=10,"Высокий",IF(G25&gt;=5,"Умеренный","Низкий")))</x:f>
        <x:v>Критический</x:v>
      </x:c>
      <x:c r="I25" s="55" t="str">
        <x:v>Автосохранение (localStorage/БД); unit-тесты для CRUD; валидация дат и конфликтов задач.</x:v>
      </x:c>
      <x:c r="J25" s="45" t="str">
        <x:v>5 дней</x:v>
      </x:c>
      <x:c r="K25" s="45" t="str">
        <x:v>Разработчик</x:v>
      </x:c>
      <x:c r="L25" s="48" t="n">
        <x:v>2</x:v>
      </x:c>
      <x:c r="M25" s="48" t="n">
        <x:v>4</x:v>
      </x:c>
      <x:c r="N25" s="50" t="n">
        <x:f>L25*M25</x:f>
        <x:v>8</x:v>
      </x:c>
      <x:c r="O25" s="52" t="str">
        <x:f>IF(N25&gt;=16,"Критический",IF(N25&gt;=10,"Высокий",IF(N25&gt;=5,"Умеренный","Низкий")))</x:f>
        <x:v>Умеренный</x:v>
      </x:c>
    </x:row>
    <x:row r="26" ht="68" customHeight="1">
      <x:c r="A26" s="53" t="n">
        <x:v>12</x:v>
      </x:c>
      <x:c r="B26" s="57" t="str">
        <x:v>Must have</x:v>
      </x:c>
      <x:c r="C26" s="54" t="str">
        <x:v>Глюки в разделе «План на неделю» (рассинхрон с месяцем)</x:v>
      </x:c>
      <x:c r="D26" s="45" t="str">
        <x:v>Разработчик</x:v>
      </x:c>
      <x:c r="E26" s="48" t="n">
        <x:v>4</x:v>
      </x:c>
      <x:c r="F26" s="48" t="n">
        <x:v>4</x:v>
      </x:c>
      <x:c r="G26" s="50" t="n">
        <x:f>E26*F26</x:f>
        <x:v>16</x:v>
      </x:c>
      <x:c r="H26" s="50" t="str">
        <x:f>IF(G26&gt;=16,"Критический",IF(G26&gt;=10,"Высокий",IF(G26&gt;=5,"Умеренный","Низкий")))</x:f>
        <x:v>Критический</x:v>
      </x:c>
      <x:c r="I26" s="55" t="str">
        <x:v>Единая модель данных (месяц → неделя → день); интеграционные тесты; реактивное обновление (state management).</x:v>
      </x:c>
      <x:c r="J26" s="45" t="str">
        <x:v>4 дня</x:v>
      </x:c>
      <x:c r="K26" s="45" t="str">
        <x:v>Разработчик</x:v>
      </x:c>
      <x:c r="L26" s="48" t="n">
        <x:v>2</x:v>
      </x:c>
      <x:c r="M26" s="48" t="n">
        <x:v>3</x:v>
      </x:c>
      <x:c r="N26" s="50" t="n">
        <x:f>L26*M26</x:f>
        <x:v>6</x:v>
      </x:c>
      <x:c r="O26" s="52" t="str">
        <x:f>IF(N26&gt;=16,"Критический",IF(N26&gt;=10,"Высокий",IF(N26&gt;=5,"Умеренный","Низкий")))</x:f>
        <x:v>Умеренный</x:v>
      </x:c>
    </x:row>
    <x:row r="27" ht="68" customHeight="1">
      <x:c r="A27" s="53" t="n">
        <x:v>13</x:v>
      </x:c>
      <x:c r="B27" s="57" t="str">
        <x:v>Must have</x:v>
      </x:c>
      <x:c r="C27" s="54" t="str">
        <x:v>Ошибки в разделе «Коммуналка» (неверный расчет, путаница тарифов)</x:v>
      </x:c>
      <x:c r="D27" s="45" t="str">
        <x:v>Разработчик</x:v>
      </x:c>
      <x:c r="E27" s="48" t="n">
        <x:v>4</x:v>
      </x:c>
      <x:c r="F27" s="48" t="n">
        <x:v>5</x:v>
      </x:c>
      <x:c r="G27" s="50" t="n">
        <x:f>E27*F27</x:f>
        <x:v>20</x:v>
      </x:c>
      <x:c r="H27" s="50" t="str">
        <x:f>IF(G27&gt;=16,"Критический",IF(G27&gt;=10,"Высокий",IF(G27&gt;=5,"Умеренный","Низкий")))</x:f>
        <x:v>Критический</x:v>
      </x:c>
      <x:c r="I27" s="55" t="str">
        <x:v>Ручная проверка показаний; история изменений (лог); тесты формул на разных тарифах; экспорт в Excel.</x:v>
      </x:c>
      <x:c r="J27" s="45" t="str">
        <x:v>5 дней</x:v>
      </x:c>
      <x:c r="K27" s="45" t="str">
        <x:v>Разработчик</x:v>
      </x:c>
      <x:c r="L27" s="48" t="n">
        <x:v>2</x:v>
      </x:c>
      <x:c r="M27" s="48" t="n">
        <x:v>3</x:v>
      </x:c>
      <x:c r="N27" s="50" t="n">
        <x:f>L27*M27</x:f>
        <x:v>6</x:v>
      </x:c>
      <x:c r="O27" s="52" t="str">
        <x:f>IF(N27&gt;=16,"Критический",IF(N27&gt;=10,"Высокий",IF(N27&gt;=5,"Умеренный","Низкий")))</x:f>
        <x:v>Умеренный</x:v>
      </x:c>
    </x:row>
    <x:row r="28" ht="68" customHeight="1">
      <x:c r="A28" s="53" t="n">
        <x:v>14</x:v>
      </x:c>
      <x:c r="B28" s="57" t="str">
        <x:v>Must have</x:v>
      </x:c>
      <x:c r="C28" s="54" t="str">
        <x:v>Сбои в разделе «Расчет бюджета» (неверная сумма, округление)</x:v>
      </x:c>
      <x:c r="D28" s="45" t="str">
        <x:v>Разработчик</x:v>
      </x:c>
      <x:c r="E28" s="48" t="n">
        <x:v>4</x:v>
      </x:c>
      <x:c r="F28" s="48" t="n">
        <x:v>5</x:v>
      </x:c>
      <x:c r="G28" s="50" t="n">
        <x:f>E28*F28</x:f>
        <x:v>20</x:v>
      </x:c>
      <x:c r="H28" s="50" t="str">
        <x:f>IF(G28&gt;=16,"Критический",IF(G28&gt;=10,"Высокий",IF(G28&gt;=5,"Умеренный","Низкий")))</x:f>
        <x:v>Критический</x:v>
      </x:c>
      <x:c r="I28" s="55" t="str">
        <x:v>Decimal-типы для денег (без float); тесты формул; ручное подтверждение итогов; импорт банковских выписок.</x:v>
      </x:c>
      <x:c r="J28" s="45" t="str">
        <x:v>6 дней</x:v>
      </x:c>
      <x:c r="K28" s="45" t="str">
        <x:v>Разработчик</x:v>
      </x:c>
      <x:c r="L28" s="48" t="n">
        <x:v>2</x:v>
      </x:c>
      <x:c r="M28" s="48" t="n">
        <x:v>3</x:v>
      </x:c>
      <x:c r="N28" s="50" t="n">
        <x:f>L28*M28</x:f>
        <x:v>6</x:v>
      </x:c>
      <x:c r="O28" s="52" t="str">
        <x:f>IF(N28&gt;=16,"Критический",IF(N28&gt;=10,"Высокий",IF(N28&gt;=5,"Умеренный","Низкий")))</x:f>
        <x:v>Умеренный</x:v>
      </x:c>
    </x:row>
    <x:row r="29" ht="68" customHeight="1">
      <x:c r="A29" s="53" t="n">
        <x:v>15</x:v>
      </x:c>
      <x:c r="B29" s="57" t="str">
        <x:v>Must have</x:v>
      </x:c>
      <x:c r="C29" s="54" t="str">
        <x:v>Некорректная работа раздела «Ассистент» (зависает, ошибки)</x:v>
      </x:c>
      <x:c r="D29" s="45" t="str">
        <x:v>Разработчик</x:v>
      </x:c>
      <x:c r="E29" s="48" t="n">
        <x:v>5</x:v>
      </x:c>
      <x:c r="F29" s="48" t="n">
        <x:v>5</x:v>
      </x:c>
      <x:c r="G29" s="50" t="n">
        <x:f>E29*F29</x:f>
        <x:v>25</x:v>
      </x:c>
      <x:c r="H29" s="50" t="str">
        <x:f>IF(G29&gt;=16,"Критический",IF(G29&gt;=10,"Высокий",IF(G29&gt;=5,"Умеренный","Низкий")))</x:f>
        <x:v>Критический</x:v>
      </x:c>
      <x:c r="I29" s="55" t="str">
        <x:v>Таймауты и retry; fallback-модель (Claude / Gemini); понятные ошибки; тестирование на разных сценариях.</x:v>
      </x:c>
      <x:c r="J29" s="45" t="str">
        <x:v>7 дней</x:v>
      </x:c>
      <x:c r="K29" s="45" t="str">
        <x:v>Разработчик</x:v>
      </x:c>
      <x:c r="L29" s="48" t="n">
        <x:v>2</x:v>
      </x:c>
      <x:c r="M29" s="48" t="n">
        <x:v>4</x:v>
      </x:c>
      <x:c r="N29" s="50" t="n">
        <x:f>L29*M29</x:f>
        <x:v>8</x:v>
      </x:c>
      <x:c r="O29" s="52" t="str">
        <x:f>IF(N29&gt;=16,"Критический",IF(N29&gt;=10,"Высокий",IF(N29&gt;=5,"Умеренный","Низкий")))</x:f>
        <x:v>Умеренный</x:v>
      </x:c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</x:row>
    <x:row r="32">
      <x:c r="A32" s="7" t="str">
        <x:v>Краткий вывод</x:v>
      </x:c>
      <x:c r="B32" s="7"/>
      <x:c r="C32" s="7"/>
      <x:c r="D32" s="7"/>
      <x:c r="E32" s="7"/>
      <x:c r="F32" s="7"/>
      <x:c r="G32" s="7"/>
      <x:c r="H32" s="7"/>
      <x:c r="I32" s="7"/>
      <x:c r="J32" s="7"/>
      <x:c r="K32" s="7"/>
      <x:c r="L32" s="7"/>
      <x:c r="M32" s="7"/>
      <x:c r="N32" s="7"/>
      <x:c r="O32" s="7"/>
    </x:row>
    <x:row r="33" ht="32" customHeight="1">
      <x:c r="A33" s="71" t="str">
        <x:v>Основное внимание следует уделить рискам категории Must have: доступности ИИ-сервисов, корректности ответов и расчетов, защите персональных данных и надежности планирования. Предложенные меры переводят большинство рисков в умеренную или низкую зону; отложенный мобильный сценарий отмечен как Won't have для текущего MVP и должен быть пересмотрен перед расширением продукта.</x:v>
      </x:c>
      <x:c r="B33" s="72"/>
      <x:c r="C33" s="72"/>
      <x:c r="D33" s="72"/>
      <x:c r="E33" s="72"/>
      <x:c r="F33" s="72"/>
      <x:c r="G33" s="72"/>
      <x:c r="H33" s="72"/>
      <x:c r="I33" s="72"/>
      <x:c r="J33" s="72"/>
      <x:c r="K33" s="72"/>
      <x:c r="L33" s="72"/>
      <x:c r="M33" s="72"/>
      <x:c r="N33" s="72"/>
      <x:c r="O33" s="73"/>
    </x:row>
    <x:row r="34" ht="32" customHeight="1">
      <x:c r="A34" s="74"/>
      <x:c r="B34" s="75"/>
      <x:c r="C34" s="75"/>
      <x:c r="D34" s="75"/>
      <x:c r="E34" s="75"/>
      <x:c r="F34" s="75"/>
      <x:c r="G34" s="75"/>
      <x:c r="H34" s="75"/>
      <x:c r="I34" s="75"/>
      <x:c r="J34" s="75"/>
      <x:c r="K34" s="75"/>
      <x:c r="L34" s="75"/>
      <x:c r="M34" s="75"/>
      <x:c r="N34" s="75"/>
      <x:c r="O34" s="76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</x:row>
  </x:sheetData>
  <x:mergeCells>
    <x:mergeCell ref="B3:O3"/>
    <x:mergeCell ref="B4:O4"/>
    <x:mergeCell ref="B5:O5"/>
    <x:mergeCell ref="B11:O11"/>
    <x:mergeCell ref="B12:O12"/>
    <x:mergeCell ref="B13:O13"/>
    <x:mergeCell ref="A33:O34"/>
  </x:mergeCells>
  <x:conditionalFormatting sqref="G15:G29">
    <x:cfRule type="cellIs" dxfId="0" priority="1" operator="greaterThanOrEqual">
      <x:formula>16</x:formula>
    </x:cfRule>
    <x:cfRule type="cellIs" dxfId="1" priority="2" operator="between">
      <x:formula>10</x:formula>
      <x:formula>15</x:formula>
    </x:cfRule>
    <x:cfRule type="cellIs" dxfId="2" priority="3" operator="between">
      <x:formula>5</x:formula>
      <x:formula>9</x:formula>
    </x:cfRule>
    <x:cfRule type="cellIs" dxfId="3" priority="4" operator="lessThanOrEqual">
      <x:formula>4</x:formula>
    </x:cfRule>
  </x:conditionalFormatting>
  <x:conditionalFormatting sqref="N15:N29">
    <x:cfRule type="cellIs" dxfId="4" priority="5" operator="greaterThanOrEqual">
      <x:formula>16</x:formula>
    </x:cfRule>
    <x:cfRule type="cellIs" dxfId="5" priority="6" operator="between">
      <x:formula>10</x:formula>
      <x:formula>15</x:formula>
    </x:cfRule>
    <x:cfRule type="cellIs" dxfId="6" priority="7" operator="between">
      <x:formula>5</x:formula>
      <x:formula>9</x:formula>
    </x:cfRule>
    <x:cfRule type="cellIs" dxfId="7" priority="8" operator="lessThanOrEqual">
      <x:formula>4</x:formula>
    </x:cfRule>
  </x:conditionalFormatting>
  <x:dataValidations count="3">
    <x:dataValidation type="list" sqref="B15:B29">
      <x:formula1>"Must have,Should have,Could have,Won't have"</x:formula1>
    </x:dataValidation>
    <x:dataValidation type="whole" operator="between" sqref="E15:F29">
      <x:formula1>1</x:formula1>
      <x:formula2>5</x:formula2>
    </x:dataValidation>
    <x:dataValidation type="whole" operator="between" sqref="L15:M29">
      <x:formula1>1</x:formula1>
      <x:formula2>5</x:formula2>
    </x:dataValidation>
  </x:dataValidations>
  <x:pageMargins left="0.7" right="0.7" top="0.75" bottom="0.75" header="0.3" footer="0.3"/>
</x:worksheet>
</file>